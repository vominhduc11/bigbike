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ổng quan" sheetId="1" r:id="rId5"/>
    <sheet state="hidden" name="So sánh 5 web" sheetId="2" r:id="rId6"/>
    <sheet state="visible" name="Reference" sheetId="3" r:id="rId7"/>
    <sheet state="visible" name="Checklist" sheetId="4" r:id="rId8"/>
  </sheets>
  <definedNames/>
  <calcPr/>
</workbook>
</file>

<file path=xl/sharedStrings.xml><?xml version="1.0" encoding="utf-8"?>
<sst xmlns="http://schemas.openxmlformats.org/spreadsheetml/2006/main" count="444" uniqueCount="243">
  <si>
    <t>ĐÁNH GIÁ TRANG SẢN PHẨM: BIGBIKE.VN vs 4 ĐỐI THỦ</t>
  </si>
  <si>
    <t>Khảo sát HTML trực tiếp 5 URL sản phẩm mẫu · Ngày 11/06/2026 · Template chấm: 21 tiêu chí (SEO on-page, Nội dung &amp; E-E-A-T, Thông tin mua hàng, Schema)</t>
  </si>
  <si>
    <t>URL MẪU ĐÃ KHẢO SÁT</t>
  </si>
  <si>
    <t>bigbike.vn</t>
  </si>
  <si>
    <t>Caberg Avalon X (fullface)</t>
  </si>
  <si>
    <t>https://bigbike.vn/sp/mu-bao-hiem-caberg-avalon-x-italy.html</t>
  </si>
  <si>
    <t>dobaohomoto.vn</t>
  </si>
  <si>
    <t>https://dobaohomoto.vn/san-pham/chi-tiet/mu-bao-hiem-fullface-caberg-avalon-x---tem-11109</t>
  </si>
  <si>
    <t>bikersaigon.net</t>
  </si>
  <si>
    <t>EGO E42 kính Revo (3/4)</t>
  </si>
  <si>
    <t>https://bikersaigon.net/san-pham/non-bao-hiem-ego-e42-trang-kinh-revo-cam/</t>
  </si>
  <si>
    <t>chobaoho.vn</t>
  </si>
  <si>
    <t>EGO E-72 (fullface)</t>
  </si>
  <si>
    <t>https://chobaoho.vn/non-bao-hiem-fullface-ego-e-72</t>
  </si>
  <si>
    <t>nontaidat.vn</t>
  </si>
  <si>
    <t>LS2 FF800 Storm Slant (fullface)</t>
  </si>
  <si>
    <t>https://nontaidat.vn/products/fullface-ls2-storm-ff800-slant</t>
  </si>
  <si>
    <t>ĐIỂM TỔNG KẾT / 21 TIÊU CHÍ (tự động tính từ sheet 'So sánh 5 web')</t>
  </si>
  <si>
    <t>Website</t>
  </si>
  <si>
    <t>Đạt</t>
  </si>
  <si>
    <t>Một phần</t>
  </si>
  <si>
    <t>Chưa đạt</t>
  </si>
  <si>
    <t>Cần kiểm tra</t>
  </si>
  <si>
    <t>TIẾN ĐỘ CHECKLIST (tự động tính từ sheet 'Checklist')</t>
  </si>
  <si>
    <t>Tổng hạng mục</t>
  </si>
  <si>
    <t>Hoàn thành</t>
  </si>
  <si>
    <t>Đang làm</t>
  </si>
  <si>
    <t>Chưa làm</t>
  </si>
  <si>
    <t>% hoàn thành</t>
  </si>
  <si>
    <t>5 THÔNG ĐIỆP CHÍNH CHO KHÁCH HÀNG</t>
  </si>
  <si>
    <t>1. BigBike vẫn giữ lợi thế E-E-A-T độc nhất thị trường: là site DUY NHẤT trong 5 web có đánh giá trung thực (nêu nhược điểm thật) và con số tự cân đo (1.536g, nhẹ hơn LS2 Storm II 29g). Cả 4 đối thủ đều chỉ chép số nhà sản xuất và chỉ khen.</t>
  </si>
  <si>
    <t>2. Nhưng về CẤU TRÚC TRANG, BigBike đang thua cả 4 đối thủ ở các điểm cơ bản: tab Thông số kỹ thuật rỗng (bikersaigon có spec đầy đủ nhất kèm bảo hành 24 tháng + phân biệt xuất xứ/nơi sản xuất; nontaidat có quick-facts ngay khối mua hàng), heading không dùng thẻ H2/H3, không ghi bảo hành trên trang (3/4 đối thủ có ghi).</t>
  </si>
  <si>
    <t>3. nontaidat.vn (Shopify) là benchmark thương mại: title tag tối ưu, giá theo từng size, SKU, tồn kho tạo khan hiếm ('chỉ còn 1 cái'), nhận hàng tại store 24h, cross-sell 'Mua kèm ngay'. Đây là mức trải nghiệm mua hàng BigBike cần đuổi kịp.</t>
  </si>
  <si>
    <t>4. chobaoho.vn ghi chính sách dịch vụ con số cụ thể tốt nhất (freeship &gt;600k, đổi trả 48h, BH 24 tháng, giặt nón miễn phí) — nhưng nội dung nghi lấy từ trang hãng EGO (ảnh hotlink domain hãng, mô tả giọng nhà sản xuất) = rủi ro duplicate content. BigBike viết gốc 100% là lợi thế cần khuếch đại.</t>
  </si>
  <si>
    <t>5. KHOẢNG TRỐNG CHUNG cả 5 web: không ai có FAQ trên trang, không ai có bảng size dạng HTML (toàn dùng ảnh — máy không đọc được), không ai có khối 'phù hợp với ai' đúng nghĩa. Ai làm template chuẩn trước sẽ chiếm vị trí trích dẫn trên Google AI Overviews / ChatGPT / Gemini trước.</t>
  </si>
  <si>
    <t>SO SÁNH CẤU TRÚC TRANG SẢN PHẨM — 5 WEBSITE (khảo sát HTML trực tiếp, 06/2026)</t>
  </si>
  <si>
    <t>Mỗi site chấm trên 1 URL sản phẩm đại diện (xem sheet Tổng quan). Template là mẫu chung cho mọi loại sản phẩm nên so theo cấu trúc trang, không so cùng sản phẩm.</t>
  </si>
  <si>
    <t>Tiêu chí</t>
  </si>
  <si>
    <t>Chuẩn template cần đạt</t>
  </si>
  <si>
    <t>dobaohomoto</t>
  </si>
  <si>
    <t>bikersaigon</t>
  </si>
  <si>
    <t>chobaoho</t>
  </si>
  <si>
    <t>nontaidat</t>
  </si>
  <si>
    <t>Bằng chứng / Ghi chú</t>
  </si>
  <si>
    <t>NHÓM 1: NỀN TẢNG SEO ON-PAGE</t>
  </si>
  <si>
    <t>URL thân thiện</t>
  </si>
  <si>
    <t>Slug tĩnh chứa brand + model</t>
  </si>
  <si>
    <t>Dobaohomoto: slug dính '---tem-11109'. 4 site còn lại slug sạch.</t>
  </si>
  <si>
    <t>Title tag</t>
  </si>
  <si>
    <t>≤60 ký tự, keyword + USP + brand shop</t>
  </si>
  <si>
    <t>nontaidat tốt nhất: 'Mũ Fullface LS2 FF800 Storm Slant nhám | Nón LS2 có 2 kính – Nón Tài Đạt'. Dobaohomoto/chobaoho viết HOA toàn bộ; bikersaigon chỉ tên SP không USP.</t>
  </si>
  <si>
    <t>Meta description</t>
  </si>
  <si>
    <t>≤155 ký tự, entity + spec + giá</t>
  </si>
  <si>
    <t>bikersaigon có cả 2 chuẩn DOT FMVSS 218 + QCVN2:2021 trong meta. chobaoho mở bằng brand story EGO, bị cắt giữa câu. BigBike có lỗi chính tả 'đep', thiếu giá.</t>
  </si>
  <si>
    <t>Heading H2/H3 đúng thẻ</t>
  </si>
  <si>
    <t>1 H1 duy nhất, hierarchy H2→H3 thật</t>
  </si>
  <si>
    <t>Chưa</t>
  </si>
  <si>
    <t>BigBike dùng &lt;p&gt;&lt;strong&gt; — tệ nhất nhóm. chobaoho có 2 H1 trên cùng trang (lỗi). bikersaigon heading lộn xộn ('IX. Hướng Dẫn Đo Size' thừa số La Mã). nontaidat H1+H2 sạch.</t>
  </si>
  <si>
    <t>Tốc độ phản hồi / crawlability</t>
  </si>
  <si>
    <t>Server trả HTML ổn định cho bot</t>
  </si>
  <si>
    <t>DUY NHẤT bigbike.vn timeout 2 lần khi fetch tự động — 4 đối thủ đều trả HTML nhanh. Rủi ro với Googlebot/AI crawler, cần kiểm tra hosting/firewall/CDN ngay.</t>
  </si>
  <si>
    <t>NHÓM 2: NỘI DUNG &amp; E-E-A-T</t>
  </si>
  <si>
    <t>Khối trả lời nhanh (answer-first)</t>
  </si>
  <si>
    <t>60 từ đầu: là gì + spec + giá + cho ai</t>
  </si>
  <si>
    <t>Không site nào đạt chuẩn. chobaoho tệ nhất: 100+ từ đầu là lịch sử thương hiệu EGO, chưa nói gì về sản phẩm. nontaidat có quick-facts icon ngay khối mua hàng (KPA, 1550g, ECE 22.05) — gần chuẩn nhất.</t>
  </si>
  <si>
    <t>Bảng thông số kỹ thuật</t>
  </si>
  <si>
    <t>Bảng &lt;table&gt; HTML đầy đủ spec</t>
  </si>
  <si>
    <t>bikersaigon ĐẦY ĐỦ NHẤT: brand, xuất xứ VN / sản xuất TQ (phân biệt minh bạch!), QCVN 2:2021, 1400±50g, ABS+EPS, size, màu, BH 24 tháng — ngay đầu trang (dạng text, nên chuyển &lt;table&gt;). Tab spec của BigBike đang RỖNG — tệ nhất nhóm.</t>
  </si>
  <si>
    <t>Con số đo thực tế / so sánh</t>
  </si>
  <si>
    <t>Số liệu shop tự kiểm chứng</t>
  </si>
  <si>
    <t>CHỈ BigBike: cân thật 1.536g, so sánh nhẹ hơn LS2 Storm II 29g. 4 đối thủ đều chép số nhà sản xuất. Lợi thế E-E-A-T độc quyền — phải giữ và khuếch đại.</t>
  </si>
  <si>
    <t>Nhược điểm trung thực</t>
  </si>
  <si>
    <t>Nêu hạn chế thật của sản phẩm</t>
  </si>
  <si>
    <t>CHỈ BigBike: kính râm cấn gọng cận, không kèm Pinlock, thông gió chưa tối ưu, độ ồn. 4 đối thủ toàn khen — AI engine ưu tiên trích nguồn cân bằng như BigBike.</t>
  </si>
  <si>
    <t>Ảnh thật + alt chuẩn</t>
  </si>
  <si>
    <t>Ảnh tự chụp, alt mô tả nội dung</t>
  </si>
  <si>
    <t>BigBike &amp; bikersaigon: ảnh tự chụp nhưng alt kém (BigBike đánh số 'Tem 01-08'; bikersaigon alt rỗng). chobaoho HOTLINK ảnh từ domain của hãng EGO — vừa duplicate vừa rủi ro ảnh chết. nontaidat alt = tên SP lặp mọi ảnh.</t>
  </si>
  <si>
    <t>Video review</t>
  </si>
  <si>
    <t>Video nhúng + text mô tả kèm</t>
  </si>
  <si>
    <t>BigBike (tab riêng) và bikersaigon (trong mô tả) có YouTube embed nhưng đều thiếu text mô tả → máy không hiểu nội dung video. 3 site còn lại không có video.</t>
  </si>
  <si>
    <t>Bảng size + hướng dẫn chọn</t>
  </si>
  <si>
    <t>Bảng vòng đầu (cm) dạng HTML + cách đo</t>
  </si>
  <si>
    <t>KHÔNG site nào có bảng HTML — bikersaigon/chobaoho dùng ẢNH bảng size (máy không đọc), nontaidat có popup 'Bảng Size', dobaohomoto chỉ liệt kê M-XXL. Khoảng trống chung dễ chiếm.</t>
  </si>
  <si>
    <t>Khối 'phù hợp với ai'</t>
  </si>
  <si>
    <t>3–4 tình huống nếu–thì + link thay thế</t>
  </si>
  <si>
    <t>BigBike có 1 câu so LS2 Storm II (tối nghĩa); nontaidat có 1 câu 'lý tưởng cho anh em touring'. Không ai có khối đúng nghĩa.</t>
  </si>
  <si>
    <t>FAQ trên trang</t>
  </si>
  <si>
    <t>5–7 Q&amp;A trả lời thẳng</t>
  </si>
  <si>
    <t>CẢ 5 WEB ĐỀU KHÔNG CÓ. Khoảng trống AEO lớn nhất toàn ngành — ai làm trước chiếm featured snippet + AI answer trước.</t>
  </si>
  <si>
    <t>NHÓM 3: THÔNG TIN MUA HÀNG</t>
  </si>
  <si>
    <t>Giá + tình trạng kho</t>
  </si>
  <si>
    <t>Giá rõ + tồn kho theo biến thể</t>
  </si>
  <si>
    <t>nontaidat MẠNH NHẤT: giá theo từng size (M 2,9tr / L-XXL 3,19tr), SKU, 'chỉ còn 1 cái', nhận tại store 24h. chobaoho mâu thuẫn: ghi 'Còn hàng' nhưng mọi màu/size gắn badge sold-out.</t>
  </si>
  <si>
    <t>Bảo hành ghi trên trang</t>
  </si>
  <si>
    <t>Số tháng + phạm vi cụ thể</t>
  </si>
  <si>
    <t>3/5 site ghi rõ (dobaohomoto 12 tháng; bikersaigon &amp; chobaoho 24 tháng). BigBike KHÔNG ghi — thua trực diện về trust ngay tại trang bán.</t>
  </si>
  <si>
    <t>Chính sách đổi trả / dịch vụ</t>
  </si>
  <si>
    <t>Số ngày + điều kiện cụ thể</t>
  </si>
  <si>
    <t>chobaoho duy nhất có khối dịch vụ con số: freeship &gt;600k, đổi trả 48h, giặt nón miễn phí — nhưng mâu thuẫn nội bộ (mô tả ghi 48h, sidebar ghi '7 ngày 1 đổi 1').</t>
  </si>
  <si>
    <t>Internal link ngữ cảnh</t>
  </si>
  <si>
    <t>2–4 link SP/phụ kiện liên quan tự nhiên</t>
  </si>
  <si>
    <t>BigBike: link so sánh LS2 + Pinlock Fog City trong văn cảnh — tự nhiên nhất. nontaidat: cross-sell 'Mua kèm ngay' + mã giảm Cardo. chobaoho: 0 internal link trong mô tả, chỉ link social ngoài.</t>
  </si>
  <si>
    <t>NHÓM 4: DỮ LIỆU CÓ CẤU TRÚC</t>
  </si>
  <si>
    <t>Schema Product hợp lệ</t>
  </si>
  <si>
    <t>1 block Product duy nhất, giá khớp</t>
  </si>
  <si>
    <t>Cần chạy Rich Results Test cả 5 URL (đề xuất là việc đầu tiên của hợp đồng). Tín hiệu sơ bộ: chobaoho &amp; nontaidat có og:type=product (tốt); bikersaigon og:type=article (dấu hiệu cấu hình sai cho trang sản phẩm); BigBike cần kiểm tra trùng schema Woo + plugin SEO.</t>
  </si>
  <si>
    <t>Schema FAQPage</t>
  </si>
  <si>
    <t>Khớp FAQ hiển thị trên trang</t>
  </si>
  <si>
    <t>Không site nào có FAQ trên trang → chắc chắn không có FAQPage hợp lệ.</t>
  </si>
  <si>
    <t>Schema VideoObject</t>
  </si>
  <si>
    <t>Khai cho video đang nhúng</t>
  </si>
  <si>
    <t>BigBike &amp; bikersaigon có sẵn video — chỉ cần thêm schema là có rich result video, 3 site kia không có video để khai.</t>
  </si>
  <si>
    <t>Số tiêu chí ĐẠT</t>
  </si>
  <si>
    <t>Số tiêu chí MỘT PHẦN</t>
  </si>
  <si>
    <t>Số tiêu chí CHƯA</t>
  </si>
  <si>
    <t>Số tiêu chí CẦN KIỂM TRA</t>
  </si>
  <si>
    <r>
      <rPr>
        <rFont val="Arial"/>
        <b/>
        <color rgb="FF1F3864"/>
        <sz val="13.0"/>
      </rPr>
      <t xml:space="preserve">CHECKLIST TRIỂN KHAI TEMPLATE MÔ TẢ SẢN PHẨM — BIGBIKE.VN - </t>
    </r>
    <r>
      <rPr>
        <rFont val="Arial"/>
        <b/>
        <color rgb="FF1155CC"/>
        <sz val="13.0"/>
        <u/>
      </rPr>
      <t>https://bigbike.vn/sp/mu-bao-hiem-caberg-avalon-x-italy.html</t>
    </r>
  </si>
  <si>
    <t>STT</t>
  </si>
  <si>
    <t>Nhóm</t>
  </si>
  <si>
    <t>Hạng mục</t>
  </si>
  <si>
    <t>Tiêu chí đạt</t>
  </si>
  <si>
    <t>Ưu tiên</t>
  </si>
  <si>
    <t>Trạng thái</t>
  </si>
  <si>
    <t>Ví dụ</t>
  </si>
  <si>
    <t>Nội dung (Brand team điền)</t>
  </si>
  <si>
    <t>File hình ảnh/vdo (Brand team cung cấp)</t>
  </si>
  <si>
    <t>Ghi chú</t>
  </si>
  <si>
    <t>Kỹ thuật nền</t>
  </si>
  <si>
    <t>Sửa heading sang thẻ H2/H3 thật</t>
  </si>
  <si>
    <t>Toàn bộ tiêu đề mục dùng &lt;h2&gt;/&lt;h3&gt;, không dùng &lt;p&gt;&lt;strong&gt;; chỉ 1 H1/trang</t>
  </si>
  <si>
    <t>Cao</t>
  </si>
  <si>
    <t>Sai: &lt;p&gt;&lt;strong&gt;Tính Năng Nổi Bật&lt;/strong&gt;&lt;/p&gt;
Đúng: &lt;h2&gt;Tính năng nổi bật của Caberg Avalon X&lt;/h2&gt; và tiêu đề con &lt;h3&gt;Hệ thống 2 kính&lt;/h3&gt;.
Mỗi trang chỉ 1 thẻ H1 = tên sản phẩm.</t>
  </si>
  <si>
    <t>Hiện phần mô tả sản phẩm chưa đạt tiểu chuẩn HTML
Có sản phẩm chứa 2 thẻ H1
https://bigbike.vn/sp/mu-bao-hiem-fullface-ilm-racing-mf510.html
Các tiêu đề con chưa có h2 h3 theo đúng cấu trúc html</t>
  </si>
  <si>
    <t>Meta</t>
  </si>
  <si>
    <t>Title tag theo công thức</t>
  </si>
  <si>
    <t>≤60 ký tự: [Tên SP] – [USP] | BigBike</t>
  </si>
  <si>
    <t>Mũ Fullface Caberg Avalon X – 2 Kính, ECE 22.06 | BigBike (59 ký tự)</t>
  </si>
  <si>
    <t>Thiếu Brand trong title
Mỗi sản phẩm một kiểu chưa có tiêu chuẩn chung</t>
  </si>
  <si>
    <t>Meta description theo công thức</t>
  </si>
  <si>
    <t xml:space="preserve">≤155 ký tự: entity + 2 spec đắt + giá; soát lỗi chính tả
</t>
  </si>
  <si>
    <t>Caberg Avalon X fullface 2 kính, 1.536g, chuẩn ECE 22.06, thương hiệu Ý. Giá 3.390.000đ, đánh giá thật ưu nhược điểm tại BigBike. (137 ký tự)</t>
  </si>
  <si>
    <t>Meta description hiện tại đang mỗi sản phẩm một kiểu, chưa có tiêu chuẩn chung</t>
  </si>
  <si>
    <t>Tab Mô tả</t>
  </si>
  <si>
    <t>Khối trả lời nhanh 40–60 từ</t>
  </si>
  <si>
    <t>Trả lời trọn: là gì + 2–3 spec kèm số + chuẩn an toàn + đối tượng + giá; đặt TRƯỚC mọi heading</t>
  </si>
  <si>
    <t>Mũ bảo hiểm Caberg Avalon X là mũ fullface 2 kính của thương hiệu Caberg (Ý), vỏ ABS, nặng 1.536g, sẵn hốc loa Bluetooth. Đạt chuẩn an toàn châu Âu ECE 22.06. Phù hợp đi phố hàng ngày và touring. Giá tại BigBike: 3.390.000đ.</t>
  </si>
  <si>
    <t>Đoạn này = description trong schema.
Tốt nhất là trả lời ngắn gọn nhu cầu tìm hiểu sản phẩm của người dùng
Thông số kĩ thuật, kích thước, giả cả, nguồn gốc, bảo hành ....</t>
  </si>
  <si>
    <t>Tính năng nâng lên H3</t>
  </si>
  <si>
    <t>Mỗi mục: tính năng → lợi ích → con số/bằng chứng → hạn chế (in nghiêng); GIỮ NGUYÊN nhận xét thật hiện có</t>
  </si>
  <si>
    <t>&lt;h3&gt;Trọng lượng 1.536g – nhẹ hơn LS2 Storm II 29g&lt;/h3&gt;
Đoạn văn: đội lâu đỡ mỏi cổ (lợi ích) → cân thực tế tại shop (bằng chứng) → *vỏ ABS vẫn nặng hơn composite cùng tầm* (hạn chế, in nghiêng).</t>
  </si>
  <si>
    <t>Không 'đánh bóng' lại nội dung gốc
Cần viết chân thật, mạch lạc, rõ ràng cho người dùng đọc hiểu</t>
  </si>
  <si>
    <t>Khối Ưu điểm &amp; Nhược điểm riêng</t>
  </si>
  <si>
    <t>3–5 gạch mỗi bên, tách khỏi phần tính năng</t>
  </si>
  <si>
    <t>Ưu: chuẩn ECE 22.06 trong tầm 3,x triệu; 2 kính, kính ngoài tháo nhanh; nhẹ hơn LS2 Storm II 29g; sẵn hốc loa Bluetooth.
Nhược: kính râm cấn gọng kính cận; không kèm Pinlock; thông gió mức khá.</t>
  </si>
  <si>
    <t>USP— 4 đối thủ đều không có
Lợi thế để tăng xếp hạng khi search từ khóa là tên sản phẩm</t>
  </si>
  <si>
    <t>Khối 'Phù hợp với ai'</t>
  </si>
  <si>
    <t>3–4 câu nếu–thì + internal link sản phẩm thay thế/phụ kiện</t>
  </si>
  <si>
    <t>TB</t>
  </si>
  <si>
    <t>Nếu bạn cần mũ chuẩn Âu dưới 3,5 triệu, đội phố lẫn touring → Avalon X hợp lý. Nếu bạn đeo kính cận thường xuyên → cân nhắc [mẫu thay thế, gắn link]. Nếu ưu tiên giá mềm hơn → xem LS2 Storm II [link].</t>
  </si>
  <si>
    <t>Target đúng tệp đối tượng khách hàng tiềm năng</t>
  </si>
  <si>
    <t>Bảng size dạng HTML + hướng dẫn</t>
  </si>
  <si>
    <t>Bảng &lt;table&gt; vòng đầu (cm) theo size của hãng + 3 câu hướng dẫn đo</t>
  </si>
  <si>
    <t>Bảng 3 cột: Size | Vòng đầu (cm) | Cỡ vỏ — ví dụ: M | 57–58 | Nhỏ.
Kèm 3 câu: đo vòng đầu bằng thước dây trên lông mày ~2cm; nằm giữa 2 size thì hỏi shop tư vấn; mũ mới hơi ôm má là bình thường, mút sẽ xẹp 5–10%.</t>
  </si>
  <si>
    <t>Cả 5 web đều dùng ảnh/không có — làm HTML table là độc quyền ngay
Nên có bảng thông số để dễ hiển thị AIO hơn</t>
  </si>
  <si>
    <t>FAQ 5–7 câu</t>
  </si>
  <si>
    <t>Answer trả lời thẳng câu đầu, 2–4 câu/answer</t>
  </si>
  <si>
    <t>Hỏi: "Caberg Avalon X nặng bao nhiêu?"
Đáp: "1.536g theo cân thực tế tại BigBike, nhẹ hơn LS2 Storm II 29g — đội cả ngày vẫn thoải mái với người quen mũ fullface."</t>
  </si>
  <si>
    <t>Cả 5 web đều chưa có — khoảng trống AEO lớn nhất
Tốt nhất là mỗi sản phẩm đều có phần FAQs này và ko trùng lặp nhau</t>
  </si>
  <si>
    <t>Trust block cuối trang</t>
  </si>
  <si>
    <t>Giá, kho, bảo hành (số tháng), giao hàng, đổi size (số ngày), hotline, địa chỉ</t>
  </si>
  <si>
    <t>Giá: 3.390.000đ | Còn hàng size M–XXL | Bảo hành: [điền số] tháng | Giao toàn quốc, COD, đồng kiểm | Đổi size trong [điền số] ngày | Hotline/Zalo: 09xx.xxx.xxx | Địa chỉ shop</t>
  </si>
  <si>
    <t>3/4 đối thủ đã ghi BH trên trang (12–24 tháng) — BigBike đang thua điểm này</t>
  </si>
  <si>
    <t>Chuẩn hóa alt ảnh</t>
  </si>
  <si>
    <t>Alt mô tả nội dung ảnh, không đánh số; thêm ảnh tem chứng nhận</t>
  </si>
  <si>
    <t>Sai: alt="Mũ bảo hiểm Caberg Avalon X - Tem 01"
Đúng: alt="Mũ Caberg Avalon X đen nhám nhìn nghiêng, cận cảnh cửa gió đỉnh đầu"</t>
  </si>
  <si>
    <t>Không hotlink ảnh hãng như chobaoho
Thẻ alt rất trọng trong SEO khi người dùng tìm kiếm sản phẩm sẽ hiển thị hình ảnh của bigbike trước các đối thủ</t>
  </si>
  <si>
    <t>Ảnh 3 tỉ lệ 1:1, 4:3, 16:9</t>
  </si>
  <si>
    <t>Tối thiểu 3 ảnh đúng tỉ lệ cho rich result, khai trong schema image[]</t>
  </si>
  <si>
    <t>Mỗi sản phẩm 3 file: avalonx-1x1.jpg (1200×1200) · avalonx-4x3.jpg (1200×900) · avalonx-16x9.jpg (1200×675) — crop từ ảnh gốc chụp tại shop.</t>
  </si>
  <si>
    <t>Chuẩn hóa tỉ lệ hình ảnh sản phẩm tăng độ chuyên nghiệp của thương hiệu</t>
  </si>
  <si>
    <t>Tab Videos</t>
  </si>
  <si>
    <t>Thêm text mô tả dưới video</t>
  </si>
  <si>
    <t>2–3 câu tóm tắt nội dung video ngay dưới embed</t>
  </si>
  <si>
    <t>Video trên tay Caberg Avalon X tại BigBike: thao tác gạt kính râm, tháo kính ngoài không cần dụng cụ và soi chi tiết lót mũ. Thời lượng 4 phút.</t>
  </si>
  <si>
    <t>BigBike &amp; bikersaigon có video nhưng đều thiếu text mô tả</t>
  </si>
  <si>
    <t>Tab Thông số</t>
  </si>
  <si>
    <t>Lấp bảng spec (tab đang RỖNG)</t>
  </si>
  <si>
    <t>Bảng &lt;table&gt; đầy đủ: brand, model, loại, vật liệu, trọng lượng, chứng nhận, màu, size, giá...</t>
  </si>
  <si>
    <t>Bảng 2 cột:
Thương hiệu: Caberg (Ý) | Loại: Fullface 2 kính | Vỏ: ABS | Trọng lượng: 1.536g (cân thực tế tại BigBike) | Chuẩn: ECE 22.06 | Khóa: gài micrometric | Lót: tháo giặt được | Size: M–XXL | Giá: 3.390.000đ</t>
  </si>
  <si>
    <t>Benchmark: khối spec của bikersaigon (đầy đủ nhất 5 web)</t>
  </si>
  <si>
    <t>Ghi đúng xuất xứ</t>
  </si>
  <si>
    <t>Phân biệt 'thương hiệu [nước]' vs 'sản xuất tại [nước]'</t>
  </si>
  <si>
    <t>Thương hiệu: Caberg (Ý) – Sản xuất tại: [điền nước sản xuất theo tem trên mũ].
Tham khảo cách bikersaigon ghi minh bạch: "Xuất Xứ: Việt Nam / Sản Xuất Tại: Trung Quốc".</t>
  </si>
  <si>
    <t>bikersaigon đã làm minh bạch (Xuất xứ VN / Sản xuất TQ) — chuẩn cần theo</t>
  </si>
  <si>
    <t>Schema</t>
  </si>
  <si>
    <t>Block Product + Offer</t>
  </si>
  <si>
    <t>name, image[3], description, sku, brand, weight, additionalProperty, offers đầy đủ</t>
  </si>
  <si>
    <t>JSON-LD rút gọn: {"@type":"Product","name":"Mũ Fullface Caberg Avalon X","brand":"Caberg","weight":"1536g","offers":{"price":"3390000","priceCurrency":"VND","availability":"InStock"}}</t>
  </si>
  <si>
    <t>positiveNotes / negativeNotes</t>
  </si>
  <si>
    <t>Lấy đúng từ khối Ưu/Nhược trên trang, author = BigBike</t>
  </si>
  <si>
    <t>positiveNotes: ["Chuẩn ECE 22.06 tầm giá 3,x triệu", "Nhẹ hơn LS2 Storm II 29g"]
negativeNotes: ["Kính râm cấn gọng kính cận", "Không kèm Pinlock"]</t>
  </si>
  <si>
    <t>Block FAQPage</t>
  </si>
  <si>
    <t>Chỉ chứa đúng Q&amp;A hiển thị ở mục FAQ</t>
  </si>
  <si>
    <t>{"@type":"Question","name":"Caberg Avalon X nặng bao nhiêu?","acceptedAnswer":{"text":"1.536g theo cân thực tế tại BigBike, nhẹ hơn LS2 Storm II 29g."}}</t>
  </si>
  <si>
    <t>Block VideoObject + BreadcrumbList</t>
  </si>
  <si>
    <t>VideoObject cho video đang nhúng; Breadcrumb 3 cấp</t>
  </si>
  <si>
    <t>VideoObject: tên "Review Caberg Avalon X tại BigBike", ngày đăng, link YouTube nhúng.
Breadcrumb: Trang chủ &gt; Mũ bảo hiểm &gt; Fullface &gt; Caberg Avalon X.</t>
  </si>
  <si>
    <t>Chống trùng schema WooCommerce</t>
  </si>
  <si>
    <t>Chỉ 1 block Product/trang — chọn 1 nguồn schema duy nhất (Woo hoặc plugin SEO)</t>
  </si>
  <si>
    <t>Lỗi điển hình: WooCommerce tự sinh 1 block Product + plugin SEO (RankMath/Yoast) sinh thêm 1 block nữa → Google thấy 2 thông tin giá trên cùng 1 trang.</t>
  </si>
  <si>
    <t>Lỗi phổ biến nhất với Woo + RankMath/Yoast
Thường plugin bản free không hỗ trợ custom schema
Có thể mua bản pro hoặc custome bằng code trong function.php</t>
  </si>
  <si>
    <t>Validate Rich Results Test</t>
  </si>
  <si>
    <t>0 lỗi nghiêm trọng; giá schema khớp giá hiển thị</t>
  </si>
  <si>
    <t>Vào search.google.com/test/rich-results → dán URL trang sản phẩm → kết quả phải hiện "Product snippets: Hợp lệ", 0 lỗi nghiêm trọng.</t>
  </si>
  <si>
    <t>Đề xuất: chạy test cả 5 URL làm bằng chứng mở đầu hợp đồng</t>
  </si>
  <si>
    <t>KHÔNG khai aggregateRating ảo</t>
  </si>
  <si>
    <t>Chỉ khai khi có review khách thật hiển thị trên trang</t>
  </si>
  <si>
    <t>Sai: khai "aggregateRating: 5.0 (1 đánh giá)" khi trang chưa hiển thị review nào.
Đúng: bỏ hẳn trường này cho đến khi có review khách thật trên trang.</t>
  </si>
  <si>
    <t>Vi phạm guideline nếu khai khống</t>
  </si>
  <si>
    <t>Nội dung</t>
  </si>
  <si>
    <t>Soát quy tắc trung thực</t>
  </si>
  <si>
    <t>Mọi con số là dữ kiện thật; thiếu → để [ĐIỀN], không bịa; không copy mô tả nhà phân phối/hãng</t>
  </si>
  <si>
    <t>Thiếu cân nặng thực tế? → ghi "[CHỜ CÂN TẠI SHOP]" thay vì chép đại số trên mạng.
Không copy nguyên văn bài mô tả từ trang hãng hoặc nhà phân phối khác.</t>
  </si>
  <si>
    <t>Tránh vết xe chobaoho (nội dung + ảnh lấy từ trang hãng)</t>
  </si>
  <si>
    <t>Entity nhất quán</t>
  </si>
  <si>
    <t>Tên sản phẩm viết thống nhất toàn trang</t>
  </si>
  <si>
    <t>Chốt 1 cách viết "Caberg Avalon X" và dùng xuyên suốt — không lúc "Avalon-X", lúc "AvalonX", lúc "avalon x".</t>
  </si>
  <si>
    <t>Thiết lập tiêu chuẩn chuyên nghiệp cho website bigbike</t>
  </si>
  <si>
    <t>Internal link 2–4 / trang</t>
  </si>
  <si>
    <t>Anchor đa dạng theo ngữ cảnh; không exact-match lặp</t>
  </si>
  <si>
    <t>...nhẹ hơn 29g so với LS2 Storm II (gắn link) · "nên mua kèm Pinlock Fog City (gắn link) nếu hay chạy sương sớm" — link nằm tự nhiên trong câu văn.</t>
  </si>
  <si>
    <t>Trang Avalon X đang làm tốt — giữ làm chuẩn; tham khảo cross-sell của nontaidat</t>
  </si>
  <si>
    <t>Độ dài 800–1.500 từ</t>
  </si>
  <si>
    <t>Đủ sâu, không độn chữ</t>
  </si>
  <si>
    <t>Trang Avalon X hiện ~600 từ → sau khi thêm FAQ + bảng size + khối "phù hợp với ai" sẽ tự đạt ~1.000–1.200 từ, không cần viết độn.</t>
  </si>
  <si>
    <t>Mở rộng</t>
  </si>
  <si>
    <t>Thu thập review khách thật</t>
  </si>
  <si>
    <t>Xin phép trích review từ đơn hàng/fanpage/Google Maps → thêm khối review + aggregateRating</t>
  </si>
  <si>
    <t>Anh T.M (đơn tháng 5/2026): 'Đội size L vừa khít, kính râm gạt mượt một tay. Trừ điểm vì không kèm Pinlock, phải mua thêm.' ★★★★☆</t>
  </si>
  <si>
    <t>Làm sau khi cấu trúc xong</t>
  </si>
  <si>
    <t>Nhân bản template ra SP khác</t>
  </si>
  <si>
    <t>Áp checklist cho từng trang sản phẩm, ưu tiên SP doanh thu cao</t>
  </si>
  <si>
    <t>Thứ tự nhân bản gợi ý: 10 sản phẩm doanh thu cao nhất → 10 sản phẩm nhiều lượt truy cập nhất (xem Google Search Console) → phần còn lại theo từng danh mục.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</si>
</sst>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1.0"/>
      <color theme="1"/>
      <name val="Calibri"/>
      <scheme val="minor"/>
    </font>
    <font>
      <b/>
      <sz val="16.0"/>
      <color rgb="FF1F3864"/>
      <name val="Arial"/>
    </font>
    <font>
      <i/>
      <sz val="10.0"/>
      <color rgb="FF595959"/>
      <name val="Arial"/>
    </font>
    <font>
      <b/>
      <sz val="12.0"/>
      <color rgb="FF1F3864"/>
      <name val="Arial"/>
    </font>
    <font>
      <b/>
      <sz val="10.0"/>
      <color rgb="FF000000"/>
      <name val="Arial"/>
    </font>
    <font>
      <sz val="10.0"/>
      <color rgb="FF000000"/>
      <name val="Arial"/>
    </font>
    <font/>
    <font>
      <u/>
      <sz val="9.0"/>
      <color rgb="FF0563C1"/>
      <name val="Arial"/>
    </font>
    <font>
      <b/>
      <sz val="11.0"/>
      <color rgb="FFFFFFFF"/>
      <name val="Arial"/>
    </font>
    <font>
      <b/>
      <sz val="13.0"/>
      <color rgb="FF1F3864"/>
      <name val="Arial"/>
    </font>
    <font>
      <i/>
      <sz val="9.0"/>
      <color rgb="FF595959"/>
      <name val="Arial"/>
    </font>
    <font>
      <b/>
      <sz val="10.0"/>
      <color rgb="FFFFFFFF"/>
      <name val="Arial"/>
    </font>
    <font>
      <b/>
      <sz val="10.0"/>
      <color rgb="FF006100"/>
      <name val="Arial"/>
    </font>
    <font>
      <b/>
      <sz val="10.0"/>
      <color rgb="FF9C6500"/>
      <name val="Arial"/>
    </font>
    <font>
      <b/>
      <sz val="10.0"/>
      <color rgb="FF9C0006"/>
      <name val="Arial"/>
    </font>
    <font>
      <b/>
      <sz val="10.0"/>
      <color rgb="FF833C00"/>
      <name val="Arial"/>
    </font>
    <font>
      <b/>
      <u/>
      <sz val="13.0"/>
      <color rgb="FF1F3864"/>
      <name val="Arial"/>
    </font>
    <font>
      <color theme="1"/>
      <name val="Calibri"/>
      <scheme val="minor"/>
    </font>
    <font>
      <sz val="10.0"/>
      <color rgb="FF9C6500"/>
      <name val="Arial"/>
    </font>
  </fonts>
  <fills count="9">
    <fill>
      <patternFill patternType="none"/>
    </fill>
    <fill>
      <patternFill patternType="lightGray"/>
    </fill>
    <fill>
      <patternFill patternType="solid">
        <fgColor rgb="FF2E75B6"/>
        <bgColor rgb="FF2E75B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CE4D6"/>
        <bgColor rgb="FFFCE4D6"/>
      </patternFill>
    </fill>
    <fill>
      <patternFill patternType="solid">
        <fgColor rgb="FF1F3864"/>
        <bgColor rgb="FF1F3864"/>
      </patternFill>
    </fill>
    <fill>
      <patternFill patternType="solid">
        <fgColor rgb="FFF2F2F2"/>
        <bgColor rgb="FFF2F2F2"/>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0" fontId="4" numFmtId="0" xfId="0" applyAlignment="1" applyBorder="1" applyFont="1">
      <alignment horizontal="left" shrinkToFit="0" vertical="top" wrapText="1"/>
    </xf>
    <xf borderId="2" fillId="0" fontId="5" numFmtId="0" xfId="0" applyAlignment="1" applyBorder="1" applyFont="1">
      <alignment horizontal="left" shrinkToFit="0" vertical="top" wrapText="1"/>
    </xf>
    <xf borderId="3" fillId="0" fontId="6" numFmtId="0" xfId="0" applyBorder="1" applyFont="1"/>
    <xf borderId="1" fillId="0" fontId="7" numFmtId="0" xfId="0" applyAlignment="1" applyBorder="1" applyFont="1">
      <alignment shrinkToFit="0" vertical="top" wrapText="1"/>
    </xf>
    <xf borderId="1" fillId="2" fontId="8"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top" wrapText="1"/>
    </xf>
    <xf borderId="1" fillId="4" fontId="5" numFmtId="0" xfId="0" applyAlignment="1" applyBorder="1" applyFill="1" applyFont="1">
      <alignment horizontal="center" shrinkToFit="0" vertical="top" wrapText="1"/>
    </xf>
    <xf borderId="1" fillId="5" fontId="5" numFmtId="0" xfId="0" applyAlignment="1" applyBorder="1" applyFill="1" applyFont="1">
      <alignment horizontal="center" shrinkToFit="0" vertical="top" wrapText="1"/>
    </xf>
    <xf borderId="1" fillId="6" fontId="5" numFmtId="0" xfId="0" applyAlignment="1" applyBorder="1" applyFill="1" applyFont="1">
      <alignment horizontal="center" shrinkToFit="0" vertical="top" wrapText="1"/>
    </xf>
    <xf borderId="1" fillId="0" fontId="5" numFmtId="0" xfId="0" applyAlignment="1" applyBorder="1" applyFont="1">
      <alignment horizontal="left" shrinkToFit="0" vertical="top" wrapText="1"/>
    </xf>
    <xf borderId="1" fillId="0" fontId="5" numFmtId="0" xfId="0" applyAlignment="1" applyBorder="1" applyFont="1">
      <alignment horizontal="center" shrinkToFit="0" vertical="top" wrapText="1"/>
    </xf>
    <xf borderId="1" fillId="0" fontId="5" numFmtId="164" xfId="0" applyAlignment="1" applyBorder="1" applyFont="1" applyNumberFormat="1">
      <alignment horizontal="center" shrinkToFit="0" vertical="top" wrapText="1"/>
    </xf>
    <xf borderId="0" fillId="0" fontId="9" numFmtId="0" xfId="0" applyAlignment="1" applyFont="1">
      <alignment shrinkToFit="0" vertical="bottom" wrapText="0"/>
    </xf>
    <xf borderId="0" fillId="0" fontId="10" numFmtId="0" xfId="0" applyAlignment="1" applyFont="1">
      <alignment shrinkToFit="0" vertical="bottom" wrapText="0"/>
    </xf>
    <xf borderId="1" fillId="7" fontId="8" numFmtId="0" xfId="0" applyAlignment="1" applyBorder="1" applyFill="1" applyFont="1">
      <alignment horizontal="center" shrinkToFit="0" vertical="center" wrapText="1"/>
    </xf>
    <xf borderId="2" fillId="2" fontId="11" numFmtId="0" xfId="0" applyAlignment="1" applyBorder="1" applyFont="1">
      <alignment horizontal="left" shrinkToFit="0" vertical="center" wrapText="0"/>
    </xf>
    <xf borderId="4" fillId="0" fontId="6" numFmtId="0" xfId="0" applyBorder="1" applyFont="1"/>
    <xf borderId="1" fillId="3" fontId="12" numFmtId="0" xfId="0" applyAlignment="1" applyBorder="1" applyFont="1">
      <alignment horizontal="center" shrinkToFit="0" vertical="top" wrapText="1"/>
    </xf>
    <xf borderId="1" fillId="4" fontId="13" numFmtId="0" xfId="0" applyAlignment="1" applyBorder="1" applyFont="1">
      <alignment horizontal="center" shrinkToFit="0" vertical="top" wrapText="1"/>
    </xf>
    <xf borderId="1" fillId="5" fontId="14" numFmtId="0" xfId="0" applyAlignment="1" applyBorder="1" applyFont="1">
      <alignment horizontal="center" shrinkToFit="0" vertical="top" wrapText="1"/>
    </xf>
    <xf borderId="1" fillId="6" fontId="15" numFmtId="0" xfId="0" applyAlignment="1" applyBorder="1" applyFont="1">
      <alignment horizontal="center" shrinkToFit="0" vertical="top" wrapText="1"/>
    </xf>
    <xf borderId="0" fillId="0" fontId="16" numFmtId="0" xfId="0" applyAlignment="1" applyFont="1">
      <alignment readingOrder="0" shrinkToFit="0" vertical="bottom" wrapText="0"/>
    </xf>
    <xf borderId="0" fillId="0" fontId="17" numFmtId="0" xfId="0" applyAlignment="1" applyFont="1">
      <alignment shrinkToFit="0" wrapText="1"/>
    </xf>
    <xf borderId="1" fillId="7" fontId="8" numFmtId="0" xfId="0" applyAlignment="1" applyBorder="1" applyFont="1">
      <alignment horizontal="center" readingOrder="0" shrinkToFit="0" vertical="center" wrapText="1"/>
    </xf>
    <xf borderId="1" fillId="8" fontId="5" numFmtId="0" xfId="0" applyAlignment="1" applyBorder="1" applyFill="1" applyFont="1">
      <alignment horizontal="center"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top" wrapText="1"/>
    </xf>
    <xf borderId="1" fillId="4" fontId="18"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gbike.vn/sp/mu-bao-hiem-caberg-avalon-x-italy.html" TargetMode="External"/><Relationship Id="rId2" Type="http://schemas.openxmlformats.org/officeDocument/2006/relationships/hyperlink" Target="https://dobaohomoto.vn/san-pham/chi-tiet/mu-bao-hiem-fullface-caberg-avalon-x---tem-11109" TargetMode="External"/><Relationship Id="rId3" Type="http://schemas.openxmlformats.org/officeDocument/2006/relationships/hyperlink" Target="https://bikersaigon.net/san-pham/non-bao-hiem-ego-e42-trang-kinh-revo-cam/" TargetMode="External"/><Relationship Id="rId4" Type="http://schemas.openxmlformats.org/officeDocument/2006/relationships/hyperlink" Target="https://chobaoho.vn/non-bao-hiem-fullface-ego-e-72" TargetMode="External"/><Relationship Id="rId5" Type="http://schemas.openxmlformats.org/officeDocument/2006/relationships/hyperlink" Target="https://nontaidat.vn/products/fullface-ls2-storm-ff800-slan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igbike.vn/sp/mu-bao-hiem-caberg-avalon-x-italy.html" TargetMode="External"/><Relationship Id="rId2" Type="http://schemas.openxmlformats.org/officeDocument/2006/relationships/hyperlink" Target="https://dobaohomoto.vn/san-pham/chi-tiet/mu-bao-hiem-fullface-caberg-avalon-x---tem-11109" TargetMode="External"/><Relationship Id="rId3" Type="http://schemas.openxmlformats.org/officeDocument/2006/relationships/hyperlink" Target="https://bikersaigon.net/san-pham/non-bao-hiem-ego-e42-trang-kinh-revo-cam/" TargetMode="External"/><Relationship Id="rId4" Type="http://schemas.openxmlformats.org/officeDocument/2006/relationships/hyperlink" Target="https://chobaoho.vn/non-bao-hiem-fullface-ego-e-72" TargetMode="External"/><Relationship Id="rId5" Type="http://schemas.openxmlformats.org/officeDocument/2006/relationships/hyperlink" Target="https://nontaidat.vn/products/fullface-ls2-storm-ff800-slan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igbike.vn/sp/mu-bao-hiem-caberg-avalon-x-italy.html"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6" width="13.0"/>
    <col customWidth="1" min="7" max="7" width="60.0"/>
    <col customWidth="1" min="8" max="26" width="8.71"/>
  </cols>
  <sheetData>
    <row r="2">
      <c r="B2" s="1" t="s">
        <v>0</v>
      </c>
    </row>
    <row r="3">
      <c r="B3" s="2" t="s">
        <v>1</v>
      </c>
    </row>
    <row r="5">
      <c r="B5" s="3" t="s">
        <v>2</v>
      </c>
    </row>
    <row r="6" ht="15.0" customHeight="1">
      <c r="B6" s="4" t="s">
        <v>3</v>
      </c>
      <c r="C6" s="5" t="s">
        <v>4</v>
      </c>
      <c r="D6" s="6"/>
      <c r="E6" s="6"/>
      <c r="F6" s="6"/>
      <c r="G6" s="7" t="s">
        <v>5</v>
      </c>
    </row>
    <row r="7">
      <c r="B7" s="4" t="s">
        <v>6</v>
      </c>
      <c r="C7" s="5" t="s">
        <v>4</v>
      </c>
      <c r="D7" s="6"/>
      <c r="E7" s="6"/>
      <c r="F7" s="6"/>
      <c r="G7" s="7" t="s">
        <v>7</v>
      </c>
    </row>
    <row r="8" ht="15.0" customHeight="1">
      <c r="B8" s="4" t="s">
        <v>8</v>
      </c>
      <c r="C8" s="5" t="s">
        <v>9</v>
      </c>
      <c r="D8" s="6"/>
      <c r="E8" s="6"/>
      <c r="F8" s="6"/>
      <c r="G8" s="7" t="s">
        <v>10</v>
      </c>
    </row>
    <row r="9" ht="15.0" customHeight="1">
      <c r="B9" s="4" t="s">
        <v>11</v>
      </c>
      <c r="C9" s="5" t="s">
        <v>12</v>
      </c>
      <c r="D9" s="6"/>
      <c r="E9" s="6"/>
      <c r="F9" s="6"/>
      <c r="G9" s="7" t="s">
        <v>13</v>
      </c>
    </row>
    <row r="10" ht="15.0" customHeight="1">
      <c r="B10" s="4" t="s">
        <v>14</v>
      </c>
      <c r="C10" s="5" t="s">
        <v>15</v>
      </c>
      <c r="D10" s="6"/>
      <c r="E10" s="6"/>
      <c r="F10" s="6"/>
      <c r="G10" s="7" t="s">
        <v>16</v>
      </c>
    </row>
    <row r="13">
      <c r="B13" s="3" t="s">
        <v>17</v>
      </c>
    </row>
    <row r="14">
      <c r="B14" s="8" t="s">
        <v>18</v>
      </c>
      <c r="C14" s="8" t="s">
        <v>19</v>
      </c>
      <c r="D14" s="8" t="s">
        <v>20</v>
      </c>
      <c r="E14" s="8" t="s">
        <v>21</v>
      </c>
      <c r="F14" s="8" t="s">
        <v>22</v>
      </c>
    </row>
    <row r="15">
      <c r="B15" s="4" t="s">
        <v>3</v>
      </c>
      <c r="C15" s="9">
        <f>COUNTIF('So sánh 5 web'!C5:C29,"Đạt")</f>
        <v>6</v>
      </c>
      <c r="D15" s="10">
        <f>COUNTIF('So sánh 5 web'!C5:C29,"Một phần")</f>
        <v>5</v>
      </c>
      <c r="E15" s="11">
        <f>COUNTIF('So sánh 5 web'!C5:C29,"Chưa")</f>
        <v>8</v>
      </c>
      <c r="F15" s="12">
        <f>COUNTIF('So sánh 5 web'!C5:C29,"Cần kiểm tra")</f>
        <v>2</v>
      </c>
    </row>
    <row r="16">
      <c r="B16" s="13" t="s">
        <v>6</v>
      </c>
      <c r="C16" s="9">
        <f>COUNTIF('So sánh 5 web'!D5:D29,"Đạt")</f>
        <v>4</v>
      </c>
      <c r="D16" s="10">
        <f>COUNTIF('So sánh 5 web'!D5:D29,"Một phần")</f>
        <v>7</v>
      </c>
      <c r="E16" s="11">
        <f>COUNTIF('So sánh 5 web'!D5:D29,"Chưa")</f>
        <v>9</v>
      </c>
      <c r="F16" s="12">
        <f>COUNTIF('So sánh 5 web'!D5:D29,"Cần kiểm tra")</f>
        <v>1</v>
      </c>
    </row>
    <row r="17">
      <c r="B17" s="13" t="s">
        <v>8</v>
      </c>
      <c r="C17" s="9">
        <f>COUNTIF('So sánh 5 web'!E5:E29,"Đạt")</f>
        <v>6</v>
      </c>
      <c r="D17" s="10">
        <f>COUNTIF('So sánh 5 web'!E5:E29,"Một phần")</f>
        <v>7</v>
      </c>
      <c r="E17" s="11">
        <f>COUNTIF('So sánh 5 web'!E5:E29,"Chưa")</f>
        <v>6</v>
      </c>
      <c r="F17" s="12">
        <f>COUNTIF('So sánh 5 web'!E5:E29,"Cần kiểm tra")</f>
        <v>2</v>
      </c>
    </row>
    <row r="18">
      <c r="B18" s="13" t="s">
        <v>11</v>
      </c>
      <c r="C18" s="9">
        <f>COUNTIF('So sánh 5 web'!F5:F29,"Đạt")</f>
        <v>3</v>
      </c>
      <c r="D18" s="10">
        <f>COUNTIF('So sánh 5 web'!F5:F29,"Một phần")</f>
        <v>7</v>
      </c>
      <c r="E18" s="11">
        <f>COUNTIF('So sánh 5 web'!F5:F29,"Chưa")</f>
        <v>10</v>
      </c>
      <c r="F18" s="12">
        <f>COUNTIF('So sánh 5 web'!F5:F29,"Cần kiểm tra")</f>
        <v>1</v>
      </c>
    </row>
    <row r="19">
      <c r="B19" s="13" t="s">
        <v>14</v>
      </c>
      <c r="C19" s="9">
        <f>COUNTIF('So sánh 5 web'!G5:G29,"Đạt")</f>
        <v>7</v>
      </c>
      <c r="D19" s="10">
        <f>COUNTIF('So sánh 5 web'!G5:G29,"Một phần")</f>
        <v>5</v>
      </c>
      <c r="E19" s="11">
        <f>COUNTIF('So sánh 5 web'!G5:G29,"Chưa")</f>
        <v>8</v>
      </c>
      <c r="F19" s="12">
        <f>COUNTIF('So sánh 5 web'!G5:G29,"Cần kiểm tra")</f>
        <v>1</v>
      </c>
    </row>
    <row r="21" ht="15.75" customHeight="1">
      <c r="B21" s="3" t="s">
        <v>23</v>
      </c>
    </row>
    <row r="22" ht="15.75" customHeight="1">
      <c r="B22" s="4" t="s">
        <v>24</v>
      </c>
      <c r="C22" s="14">
        <f>COUNTA(Checklist!C4:C38)</f>
        <v>28</v>
      </c>
    </row>
    <row r="23" ht="15.75" customHeight="1">
      <c r="B23" s="4" t="s">
        <v>25</v>
      </c>
      <c r="C23" s="14">
        <f>COUNTIF(Checklist!F4:F38,"Hoàn thành")</f>
        <v>0</v>
      </c>
    </row>
    <row r="24" ht="15.75" customHeight="1">
      <c r="B24" s="4" t="s">
        <v>26</v>
      </c>
      <c r="C24" s="14">
        <f>COUNTIF(Checklist!F4:F38,"Đang làm")</f>
        <v>0</v>
      </c>
    </row>
    <row r="25" ht="15.75" customHeight="1">
      <c r="B25" s="4" t="s">
        <v>27</v>
      </c>
      <c r="C25" s="14">
        <f>COUNTIF(Checklist!F4:F38,"Chưa làm")</f>
        <v>28</v>
      </c>
    </row>
    <row r="26" ht="15.75" customHeight="1">
      <c r="B26" s="4" t="s">
        <v>28</v>
      </c>
      <c r="C26" s="15">
        <f>IF(C22=0,0,C23/C22)</f>
        <v>0</v>
      </c>
    </row>
    <row r="27" ht="15.75" customHeight="1"/>
    <row r="28" ht="15.75" customHeight="1">
      <c r="B28" s="3" t="s">
        <v>29</v>
      </c>
    </row>
    <row r="29" ht="48.0" customHeight="1">
      <c r="B29" s="5" t="s">
        <v>30</v>
      </c>
      <c r="C29" s="6"/>
      <c r="D29" s="6"/>
      <c r="E29" s="6"/>
      <c r="F29" s="6"/>
      <c r="G29" s="6"/>
    </row>
    <row r="30" ht="48.0" customHeight="1">
      <c r="B30" s="5" t="s">
        <v>31</v>
      </c>
      <c r="C30" s="6"/>
      <c r="D30" s="6"/>
      <c r="E30" s="6"/>
      <c r="F30" s="6"/>
      <c r="G30" s="6"/>
    </row>
    <row r="31" ht="48.0" customHeight="1">
      <c r="B31" s="5" t="s">
        <v>32</v>
      </c>
      <c r="C31" s="6"/>
      <c r="D31" s="6"/>
      <c r="E31" s="6"/>
      <c r="F31" s="6"/>
      <c r="G31" s="6"/>
    </row>
    <row r="32" ht="48.0" customHeight="1">
      <c r="B32" s="5" t="s">
        <v>33</v>
      </c>
      <c r="C32" s="6"/>
      <c r="D32" s="6"/>
      <c r="E32" s="6"/>
      <c r="F32" s="6"/>
      <c r="G32" s="6"/>
    </row>
    <row r="33" ht="48.0" customHeight="1">
      <c r="B33" s="5" t="s">
        <v>34</v>
      </c>
      <c r="C33" s="6"/>
      <c r="D33" s="6"/>
      <c r="E33" s="6"/>
      <c r="F33" s="6"/>
      <c r="G33" s="6"/>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31:G31"/>
    <mergeCell ref="B32:G32"/>
    <mergeCell ref="B33:G33"/>
    <mergeCell ref="C6:F6"/>
    <mergeCell ref="C7:F7"/>
    <mergeCell ref="C8:F8"/>
    <mergeCell ref="C9:F9"/>
    <mergeCell ref="C10:F10"/>
    <mergeCell ref="B29:G29"/>
    <mergeCell ref="B30:G30"/>
  </mergeCells>
  <hyperlinks>
    <hyperlink r:id="rId1" ref="G6"/>
    <hyperlink r:id="rId2" ref="G7"/>
    <hyperlink r:id="rId3" ref="G8"/>
    <hyperlink r:id="rId4" ref="G9"/>
    <hyperlink r:id="rId5" ref="G10"/>
  </hyperlinks>
  <printOptions/>
  <pageMargins bottom="1.0" footer="0.0" header="0.0" left="0.75" right="0.75" top="1.0"/>
  <pageSetup paperSize="9" orientation="portrait"/>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6.0"/>
    <col customWidth="1" min="2" max="2" width="30.0"/>
    <col customWidth="1" min="3" max="7" width="15.0"/>
    <col customWidth="1" min="8" max="8" width="64.0"/>
    <col customWidth="1" min="9" max="26" width="8.71"/>
  </cols>
  <sheetData>
    <row r="1">
      <c r="A1" s="16" t="s">
        <v>35</v>
      </c>
    </row>
    <row r="2">
      <c r="A2" s="17" t="s">
        <v>36</v>
      </c>
    </row>
    <row r="4" ht="27.75" customHeight="1">
      <c r="A4" s="18" t="s">
        <v>37</v>
      </c>
      <c r="B4" s="18" t="s">
        <v>38</v>
      </c>
      <c r="C4" s="18" t="s">
        <v>3</v>
      </c>
      <c r="D4" s="18" t="s">
        <v>39</v>
      </c>
      <c r="E4" s="18" t="s">
        <v>40</v>
      </c>
      <c r="F4" s="18" t="s">
        <v>41</v>
      </c>
      <c r="G4" s="18" t="s">
        <v>42</v>
      </c>
      <c r="H4" s="18" t="s">
        <v>43</v>
      </c>
    </row>
    <row r="5" ht="18.0" customHeight="1">
      <c r="A5" s="19" t="s">
        <v>44</v>
      </c>
      <c r="B5" s="6"/>
      <c r="C5" s="6"/>
      <c r="D5" s="6"/>
      <c r="E5" s="6"/>
      <c r="F5" s="6"/>
      <c r="G5" s="6"/>
      <c r="H5" s="20"/>
    </row>
    <row r="6" ht="57.75" customHeight="1">
      <c r="A6" s="4" t="s">
        <v>45</v>
      </c>
      <c r="B6" s="13" t="s">
        <v>46</v>
      </c>
      <c r="C6" s="21" t="s">
        <v>19</v>
      </c>
      <c r="D6" s="22" t="s">
        <v>20</v>
      </c>
      <c r="E6" s="21" t="s">
        <v>19</v>
      </c>
      <c r="F6" s="21" t="s">
        <v>19</v>
      </c>
      <c r="G6" s="21" t="s">
        <v>19</v>
      </c>
      <c r="H6" s="13" t="s">
        <v>47</v>
      </c>
    </row>
    <row r="7" ht="57.75" customHeight="1">
      <c r="A7" s="4" t="s">
        <v>48</v>
      </c>
      <c r="B7" s="13" t="s">
        <v>49</v>
      </c>
      <c r="C7" s="21" t="s">
        <v>19</v>
      </c>
      <c r="D7" s="22" t="s">
        <v>20</v>
      </c>
      <c r="E7" s="22" t="s">
        <v>20</v>
      </c>
      <c r="F7" s="22" t="s">
        <v>20</v>
      </c>
      <c r="G7" s="21" t="s">
        <v>19</v>
      </c>
      <c r="H7" s="13" t="s">
        <v>50</v>
      </c>
    </row>
    <row r="8" ht="57.75" customHeight="1">
      <c r="A8" s="4" t="s">
        <v>51</v>
      </c>
      <c r="B8" s="13" t="s">
        <v>52</v>
      </c>
      <c r="C8" s="22" t="s">
        <v>20</v>
      </c>
      <c r="D8" s="21" t="s">
        <v>19</v>
      </c>
      <c r="E8" s="21" t="s">
        <v>19</v>
      </c>
      <c r="F8" s="22" t="s">
        <v>20</v>
      </c>
      <c r="G8" s="21" t="s">
        <v>19</v>
      </c>
      <c r="H8" s="13" t="s">
        <v>53</v>
      </c>
    </row>
    <row r="9" ht="57.75" customHeight="1">
      <c r="A9" s="4" t="s">
        <v>54</v>
      </c>
      <c r="B9" s="13" t="s">
        <v>55</v>
      </c>
      <c r="C9" s="23" t="s">
        <v>56</v>
      </c>
      <c r="D9" s="22" t="s">
        <v>20</v>
      </c>
      <c r="E9" s="22" t="s">
        <v>20</v>
      </c>
      <c r="F9" s="22" t="s">
        <v>20</v>
      </c>
      <c r="G9" s="21" t="s">
        <v>19</v>
      </c>
      <c r="H9" s="13" t="s">
        <v>57</v>
      </c>
    </row>
    <row r="10" ht="57.75" customHeight="1">
      <c r="A10" s="4" t="s">
        <v>58</v>
      </c>
      <c r="B10" s="13" t="s">
        <v>59</v>
      </c>
      <c r="C10" s="24" t="s">
        <v>22</v>
      </c>
      <c r="D10" s="21" t="s">
        <v>19</v>
      </c>
      <c r="E10" s="21" t="s">
        <v>19</v>
      </c>
      <c r="F10" s="21" t="s">
        <v>19</v>
      </c>
      <c r="G10" s="21" t="s">
        <v>19</v>
      </c>
      <c r="H10" s="13" t="s">
        <v>60</v>
      </c>
    </row>
    <row r="11" ht="18.0" customHeight="1">
      <c r="A11" s="19" t="s">
        <v>61</v>
      </c>
      <c r="B11" s="6"/>
      <c r="C11" s="6"/>
      <c r="D11" s="6"/>
      <c r="E11" s="6"/>
      <c r="F11" s="6"/>
      <c r="G11" s="6"/>
      <c r="H11" s="20"/>
    </row>
    <row r="12" ht="57.75" customHeight="1">
      <c r="A12" s="4" t="s">
        <v>62</v>
      </c>
      <c r="B12" s="13" t="s">
        <v>63</v>
      </c>
      <c r="C12" s="22" t="s">
        <v>20</v>
      </c>
      <c r="D12" s="22" t="s">
        <v>20</v>
      </c>
      <c r="E12" s="22" t="s">
        <v>20</v>
      </c>
      <c r="F12" s="23" t="s">
        <v>56</v>
      </c>
      <c r="G12" s="22" t="s">
        <v>20</v>
      </c>
      <c r="H12" s="13" t="s">
        <v>64</v>
      </c>
    </row>
    <row r="13" ht="57.75" customHeight="1">
      <c r="A13" s="4" t="s">
        <v>65</v>
      </c>
      <c r="B13" s="13" t="s">
        <v>66</v>
      </c>
      <c r="C13" s="23" t="s">
        <v>56</v>
      </c>
      <c r="D13" s="22" t="s">
        <v>20</v>
      </c>
      <c r="E13" s="21" t="s">
        <v>19</v>
      </c>
      <c r="F13" s="22" t="s">
        <v>20</v>
      </c>
      <c r="G13" s="22" t="s">
        <v>20</v>
      </c>
      <c r="H13" s="13" t="s">
        <v>67</v>
      </c>
    </row>
    <row r="14" ht="57.75" customHeight="1">
      <c r="A14" s="4" t="s">
        <v>68</v>
      </c>
      <c r="B14" s="13" t="s">
        <v>69</v>
      </c>
      <c r="C14" s="21" t="s">
        <v>19</v>
      </c>
      <c r="D14" s="23" t="s">
        <v>56</v>
      </c>
      <c r="E14" s="23" t="s">
        <v>56</v>
      </c>
      <c r="F14" s="23" t="s">
        <v>56</v>
      </c>
      <c r="G14" s="23" t="s">
        <v>56</v>
      </c>
      <c r="H14" s="13" t="s">
        <v>70</v>
      </c>
    </row>
    <row r="15" ht="57.75" customHeight="1">
      <c r="A15" s="4" t="s">
        <v>71</v>
      </c>
      <c r="B15" s="13" t="s">
        <v>72</v>
      </c>
      <c r="C15" s="21" t="s">
        <v>19</v>
      </c>
      <c r="D15" s="23" t="s">
        <v>56</v>
      </c>
      <c r="E15" s="23" t="s">
        <v>56</v>
      </c>
      <c r="F15" s="23" t="s">
        <v>56</v>
      </c>
      <c r="G15" s="23" t="s">
        <v>56</v>
      </c>
      <c r="H15" s="13" t="s">
        <v>73</v>
      </c>
    </row>
    <row r="16" ht="57.75" customHeight="1">
      <c r="A16" s="4" t="s">
        <v>74</v>
      </c>
      <c r="B16" s="13" t="s">
        <v>75</v>
      </c>
      <c r="C16" s="22" t="s">
        <v>20</v>
      </c>
      <c r="D16" s="23" t="s">
        <v>56</v>
      </c>
      <c r="E16" s="22" t="s">
        <v>20</v>
      </c>
      <c r="F16" s="23" t="s">
        <v>56</v>
      </c>
      <c r="G16" s="22" t="s">
        <v>20</v>
      </c>
      <c r="H16" s="13" t="s">
        <v>76</v>
      </c>
    </row>
    <row r="17" ht="57.75" customHeight="1">
      <c r="A17" s="4" t="s">
        <v>77</v>
      </c>
      <c r="B17" s="13" t="s">
        <v>78</v>
      </c>
      <c r="C17" s="22" t="s">
        <v>20</v>
      </c>
      <c r="D17" s="23" t="s">
        <v>56</v>
      </c>
      <c r="E17" s="22" t="s">
        <v>20</v>
      </c>
      <c r="F17" s="23" t="s">
        <v>56</v>
      </c>
      <c r="G17" s="23" t="s">
        <v>56</v>
      </c>
      <c r="H17" s="13" t="s">
        <v>79</v>
      </c>
    </row>
    <row r="18" ht="57.75" customHeight="1">
      <c r="A18" s="4" t="s">
        <v>80</v>
      </c>
      <c r="B18" s="13" t="s">
        <v>81</v>
      </c>
      <c r="C18" s="23" t="s">
        <v>56</v>
      </c>
      <c r="D18" s="22" t="s">
        <v>20</v>
      </c>
      <c r="E18" s="22" t="s">
        <v>20</v>
      </c>
      <c r="F18" s="22" t="s">
        <v>20</v>
      </c>
      <c r="G18" s="22" t="s">
        <v>20</v>
      </c>
      <c r="H18" s="13" t="s">
        <v>82</v>
      </c>
    </row>
    <row r="19" ht="57.75" customHeight="1">
      <c r="A19" s="4" t="s">
        <v>83</v>
      </c>
      <c r="B19" s="13" t="s">
        <v>84</v>
      </c>
      <c r="C19" s="22" t="s">
        <v>20</v>
      </c>
      <c r="D19" s="23" t="s">
        <v>56</v>
      </c>
      <c r="E19" s="23" t="s">
        <v>56</v>
      </c>
      <c r="F19" s="23" t="s">
        <v>56</v>
      </c>
      <c r="G19" s="22" t="s">
        <v>20</v>
      </c>
      <c r="H19" s="13" t="s">
        <v>85</v>
      </c>
    </row>
    <row r="20" ht="57.75" customHeight="1">
      <c r="A20" s="4" t="s">
        <v>86</v>
      </c>
      <c r="B20" s="13" t="s">
        <v>87</v>
      </c>
      <c r="C20" s="23" t="s">
        <v>56</v>
      </c>
      <c r="D20" s="23" t="s">
        <v>56</v>
      </c>
      <c r="E20" s="23" t="s">
        <v>56</v>
      </c>
      <c r="F20" s="23" t="s">
        <v>56</v>
      </c>
      <c r="G20" s="23" t="s">
        <v>56</v>
      </c>
      <c r="H20" s="13" t="s">
        <v>88</v>
      </c>
    </row>
    <row r="21" ht="18.0" customHeight="1">
      <c r="A21" s="19" t="s">
        <v>89</v>
      </c>
      <c r="B21" s="6"/>
      <c r="C21" s="6"/>
      <c r="D21" s="6"/>
      <c r="E21" s="6"/>
      <c r="F21" s="6"/>
      <c r="G21" s="6"/>
      <c r="H21" s="20"/>
    </row>
    <row r="22" ht="57.75" customHeight="1">
      <c r="A22" s="4" t="s">
        <v>90</v>
      </c>
      <c r="B22" s="13" t="s">
        <v>91</v>
      </c>
      <c r="C22" s="21" t="s">
        <v>19</v>
      </c>
      <c r="D22" s="21" t="s">
        <v>19</v>
      </c>
      <c r="E22" s="21" t="s">
        <v>19</v>
      </c>
      <c r="F22" s="22" t="s">
        <v>20</v>
      </c>
      <c r="G22" s="21" t="s">
        <v>19</v>
      </c>
      <c r="H22" s="13" t="s">
        <v>92</v>
      </c>
    </row>
    <row r="23" ht="57.75" customHeight="1">
      <c r="A23" s="4" t="s">
        <v>93</v>
      </c>
      <c r="B23" s="13" t="s">
        <v>94</v>
      </c>
      <c r="C23" s="23" t="s">
        <v>56</v>
      </c>
      <c r="D23" s="21" t="s">
        <v>19</v>
      </c>
      <c r="E23" s="21" t="s">
        <v>19</v>
      </c>
      <c r="F23" s="21" t="s">
        <v>19</v>
      </c>
      <c r="G23" s="23" t="s">
        <v>56</v>
      </c>
      <c r="H23" s="13" t="s">
        <v>95</v>
      </c>
    </row>
    <row r="24" ht="57.75" customHeight="1">
      <c r="A24" s="4" t="s">
        <v>96</v>
      </c>
      <c r="B24" s="13" t="s">
        <v>97</v>
      </c>
      <c r="C24" s="23" t="s">
        <v>56</v>
      </c>
      <c r="D24" s="23" t="s">
        <v>56</v>
      </c>
      <c r="E24" s="23" t="s">
        <v>56</v>
      </c>
      <c r="F24" s="22" t="s">
        <v>20</v>
      </c>
      <c r="G24" s="23" t="s">
        <v>56</v>
      </c>
      <c r="H24" s="13" t="s">
        <v>98</v>
      </c>
    </row>
    <row r="25" ht="57.75" customHeight="1">
      <c r="A25" s="4" t="s">
        <v>99</v>
      </c>
      <c r="B25" s="13" t="s">
        <v>100</v>
      </c>
      <c r="C25" s="21" t="s">
        <v>19</v>
      </c>
      <c r="D25" s="22" t="s">
        <v>20</v>
      </c>
      <c r="E25" s="22" t="s">
        <v>20</v>
      </c>
      <c r="F25" s="23" t="s">
        <v>56</v>
      </c>
      <c r="G25" s="21" t="s">
        <v>19</v>
      </c>
      <c r="H25" s="13" t="s">
        <v>101</v>
      </c>
    </row>
    <row r="26" ht="18.0" customHeight="1">
      <c r="A26" s="19" t="s">
        <v>102</v>
      </c>
      <c r="B26" s="6"/>
      <c r="C26" s="6"/>
      <c r="D26" s="6"/>
      <c r="E26" s="6"/>
      <c r="F26" s="6"/>
      <c r="G26" s="6"/>
      <c r="H26" s="20"/>
    </row>
    <row r="27" ht="57.75" customHeight="1">
      <c r="A27" s="4" t="s">
        <v>103</v>
      </c>
      <c r="B27" s="13" t="s">
        <v>104</v>
      </c>
      <c r="C27" s="24" t="s">
        <v>22</v>
      </c>
      <c r="D27" s="24" t="s">
        <v>22</v>
      </c>
      <c r="E27" s="24" t="s">
        <v>22</v>
      </c>
      <c r="F27" s="24" t="s">
        <v>22</v>
      </c>
      <c r="G27" s="24" t="s">
        <v>22</v>
      </c>
      <c r="H27" s="13" t="s">
        <v>105</v>
      </c>
    </row>
    <row r="28" ht="57.75" customHeight="1">
      <c r="A28" s="4" t="s">
        <v>106</v>
      </c>
      <c r="B28" s="13" t="s">
        <v>107</v>
      </c>
      <c r="C28" s="23" t="s">
        <v>56</v>
      </c>
      <c r="D28" s="23" t="s">
        <v>56</v>
      </c>
      <c r="E28" s="23" t="s">
        <v>56</v>
      </c>
      <c r="F28" s="23" t="s">
        <v>56</v>
      </c>
      <c r="G28" s="23" t="s">
        <v>56</v>
      </c>
      <c r="H28" s="13" t="s">
        <v>108</v>
      </c>
    </row>
    <row r="29" ht="57.75" customHeight="1">
      <c r="A29" s="4" t="s">
        <v>109</v>
      </c>
      <c r="B29" s="13" t="s">
        <v>110</v>
      </c>
      <c r="C29" s="23" t="s">
        <v>56</v>
      </c>
      <c r="D29" s="23" t="s">
        <v>56</v>
      </c>
      <c r="E29" s="24" t="s">
        <v>22</v>
      </c>
      <c r="F29" s="23" t="s">
        <v>56</v>
      </c>
      <c r="G29" s="23" t="s">
        <v>56</v>
      </c>
      <c r="H29" s="13" t="s">
        <v>111</v>
      </c>
    </row>
    <row r="30" ht="15.75" customHeight="1"/>
    <row r="31" ht="15.75" customHeight="1">
      <c r="A31" s="4" t="s">
        <v>112</v>
      </c>
      <c r="C31" s="21">
        <f t="shared" ref="C31:G31" si="1">COUNTIF(C5:C29,"Đạt")</f>
        <v>6</v>
      </c>
      <c r="D31" s="21">
        <f t="shared" si="1"/>
        <v>4</v>
      </c>
      <c r="E31" s="21">
        <f t="shared" si="1"/>
        <v>6</v>
      </c>
      <c r="F31" s="21">
        <f t="shared" si="1"/>
        <v>3</v>
      </c>
      <c r="G31" s="21">
        <f t="shared" si="1"/>
        <v>7</v>
      </c>
    </row>
    <row r="32" ht="15.75" customHeight="1">
      <c r="A32" s="4" t="s">
        <v>113</v>
      </c>
      <c r="C32" s="22">
        <f t="shared" ref="C32:G32" si="2">COUNTIF(C5:C29,"Một phần")</f>
        <v>5</v>
      </c>
      <c r="D32" s="22">
        <f t="shared" si="2"/>
        <v>7</v>
      </c>
      <c r="E32" s="22">
        <f t="shared" si="2"/>
        <v>7</v>
      </c>
      <c r="F32" s="22">
        <f t="shared" si="2"/>
        <v>7</v>
      </c>
      <c r="G32" s="22">
        <f t="shared" si="2"/>
        <v>5</v>
      </c>
    </row>
    <row r="33" ht="15.75" customHeight="1">
      <c r="A33" s="4" t="s">
        <v>114</v>
      </c>
      <c r="C33" s="23">
        <f t="shared" ref="C33:G33" si="3">COUNTIF(C5:C29,"Chưa")</f>
        <v>8</v>
      </c>
      <c r="D33" s="23">
        <f t="shared" si="3"/>
        <v>9</v>
      </c>
      <c r="E33" s="23">
        <f t="shared" si="3"/>
        <v>6</v>
      </c>
      <c r="F33" s="23">
        <f t="shared" si="3"/>
        <v>10</v>
      </c>
      <c r="G33" s="23">
        <f t="shared" si="3"/>
        <v>8</v>
      </c>
    </row>
    <row r="34" ht="15.75" customHeight="1">
      <c r="A34" s="4" t="s">
        <v>115</v>
      </c>
      <c r="C34" s="24">
        <f t="shared" ref="C34:G34" si="4">COUNTIF(C5:C29,"Cần kiểm tra")</f>
        <v>2</v>
      </c>
      <c r="D34" s="24">
        <f t="shared" si="4"/>
        <v>1</v>
      </c>
      <c r="E34" s="24">
        <f t="shared" si="4"/>
        <v>2</v>
      </c>
      <c r="F34" s="24">
        <f t="shared" si="4"/>
        <v>1</v>
      </c>
      <c r="G34" s="24">
        <f t="shared" si="4"/>
        <v>1</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5:H5"/>
    <mergeCell ref="A11:H11"/>
    <mergeCell ref="A21:H21"/>
    <mergeCell ref="A26:H2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28.14"/>
    <col customWidth="1" min="4" max="6" width="43.43"/>
  </cols>
  <sheetData>
    <row r="4">
      <c r="B4" s="3" t="s">
        <v>2</v>
      </c>
    </row>
    <row r="5" ht="15.0" customHeight="1">
      <c r="B5" s="4" t="s">
        <v>3</v>
      </c>
      <c r="C5" s="5" t="s">
        <v>4</v>
      </c>
      <c r="D5" s="7" t="s">
        <v>5</v>
      </c>
    </row>
    <row r="6">
      <c r="B6" s="4" t="s">
        <v>6</v>
      </c>
      <c r="C6" s="5" t="s">
        <v>4</v>
      </c>
      <c r="D6" s="7" t="s">
        <v>7</v>
      </c>
    </row>
    <row r="7">
      <c r="B7" s="4" t="s">
        <v>8</v>
      </c>
      <c r="C7" s="5" t="s">
        <v>9</v>
      </c>
      <c r="D7" s="7" t="s">
        <v>10</v>
      </c>
    </row>
    <row r="8" ht="15.0" customHeight="1">
      <c r="B8" s="4" t="s">
        <v>11</v>
      </c>
      <c r="C8" s="5" t="s">
        <v>12</v>
      </c>
      <c r="D8" s="7" t="s">
        <v>13</v>
      </c>
    </row>
    <row r="9" ht="15.0" customHeight="1">
      <c r="B9" s="4" t="s">
        <v>14</v>
      </c>
      <c r="C9" s="5" t="s">
        <v>15</v>
      </c>
      <c r="D9" s="7" t="s">
        <v>16</v>
      </c>
    </row>
  </sheetData>
  <hyperlinks>
    <hyperlink r:id="rId1" ref="D5"/>
    <hyperlink r:id="rId2" ref="D6"/>
    <hyperlink r:id="rId3" ref="D7"/>
    <hyperlink r:id="rId4" ref="D8"/>
    <hyperlink r:id="rId5" ref="D9"/>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22.0"/>
    <col customWidth="1" min="3" max="3" width="42.0"/>
    <col customWidth="1" min="4" max="4" width="46.0"/>
    <col customWidth="1" min="5" max="5" width="10.0"/>
    <col customWidth="1" min="6" max="6" width="14.0"/>
    <col customWidth="1" min="7" max="7" width="54.71"/>
    <col customWidth="1" min="8" max="8" width="66.29"/>
    <col customWidth="1" min="9" max="9" width="40.71"/>
    <col customWidth="1" min="10" max="10" width="37.86"/>
    <col customWidth="1" min="11" max="28" width="8.71"/>
  </cols>
  <sheetData>
    <row r="1">
      <c r="A1" s="25" t="s">
        <v>116</v>
      </c>
    </row>
    <row r="2">
      <c r="G2" s="26"/>
    </row>
    <row r="3">
      <c r="A3" s="18" t="s">
        <v>117</v>
      </c>
      <c r="B3" s="18" t="s">
        <v>118</v>
      </c>
      <c r="C3" s="18" t="s">
        <v>119</v>
      </c>
      <c r="D3" s="18" t="s">
        <v>120</v>
      </c>
      <c r="E3" s="18" t="s">
        <v>121</v>
      </c>
      <c r="F3" s="18" t="s">
        <v>122</v>
      </c>
      <c r="G3" s="27" t="s">
        <v>123</v>
      </c>
      <c r="H3" s="27" t="s">
        <v>124</v>
      </c>
      <c r="I3" s="27" t="s">
        <v>125</v>
      </c>
      <c r="J3" s="18" t="s">
        <v>126</v>
      </c>
    </row>
    <row r="4">
      <c r="A4" s="14">
        <v>1.0</v>
      </c>
      <c r="B4" s="13" t="s">
        <v>127</v>
      </c>
      <c r="C4" s="4" t="s">
        <v>128</v>
      </c>
      <c r="D4" s="13" t="s">
        <v>129</v>
      </c>
      <c r="E4" s="23" t="s">
        <v>130</v>
      </c>
      <c r="F4" s="28" t="s">
        <v>27</v>
      </c>
      <c r="G4" s="29" t="s">
        <v>131</v>
      </c>
      <c r="H4" s="13"/>
      <c r="I4" s="13"/>
      <c r="J4" s="29" t="s">
        <v>132</v>
      </c>
    </row>
    <row r="5">
      <c r="A5" s="30">
        <v>2.0</v>
      </c>
      <c r="B5" s="13" t="s">
        <v>133</v>
      </c>
      <c r="C5" s="4" t="s">
        <v>134</v>
      </c>
      <c r="D5" s="13" t="s">
        <v>135</v>
      </c>
      <c r="E5" s="23" t="s">
        <v>130</v>
      </c>
      <c r="F5" s="28" t="s">
        <v>27</v>
      </c>
      <c r="G5" s="29" t="s">
        <v>136</v>
      </c>
      <c r="H5" s="13"/>
      <c r="I5" s="13"/>
      <c r="J5" s="29" t="s">
        <v>137</v>
      </c>
    </row>
    <row r="6">
      <c r="A6" s="30">
        <v>3.0</v>
      </c>
      <c r="B6" s="13" t="s">
        <v>133</v>
      </c>
      <c r="C6" s="4" t="s">
        <v>138</v>
      </c>
      <c r="D6" s="29" t="s">
        <v>139</v>
      </c>
      <c r="E6" s="23" t="s">
        <v>130</v>
      </c>
      <c r="F6" s="28" t="s">
        <v>27</v>
      </c>
      <c r="G6" s="29" t="s">
        <v>140</v>
      </c>
      <c r="H6" s="13"/>
      <c r="I6" s="13"/>
      <c r="J6" s="29" t="s">
        <v>141</v>
      </c>
    </row>
    <row r="7">
      <c r="A7" s="14">
        <v>5.0</v>
      </c>
      <c r="B7" s="13" t="s">
        <v>142</v>
      </c>
      <c r="C7" s="4" t="s">
        <v>143</v>
      </c>
      <c r="D7" s="13" t="s">
        <v>144</v>
      </c>
      <c r="E7" s="23" t="s">
        <v>130</v>
      </c>
      <c r="F7" s="28" t="s">
        <v>27</v>
      </c>
      <c r="G7" s="29" t="s">
        <v>145</v>
      </c>
      <c r="H7" s="13"/>
      <c r="I7" s="13"/>
      <c r="J7" s="29" t="s">
        <v>146</v>
      </c>
    </row>
    <row r="8">
      <c r="A8" s="30">
        <v>6.0</v>
      </c>
      <c r="B8" s="13" t="s">
        <v>142</v>
      </c>
      <c r="C8" s="4" t="s">
        <v>147</v>
      </c>
      <c r="D8" s="13" t="s">
        <v>148</v>
      </c>
      <c r="E8" s="23" t="s">
        <v>130</v>
      </c>
      <c r="F8" s="28" t="s">
        <v>27</v>
      </c>
      <c r="G8" s="29" t="s">
        <v>149</v>
      </c>
      <c r="H8" s="13"/>
      <c r="I8" s="13"/>
      <c r="J8" s="29" t="s">
        <v>150</v>
      </c>
    </row>
    <row r="9">
      <c r="A9" s="14">
        <v>7.0</v>
      </c>
      <c r="B9" s="13" t="s">
        <v>142</v>
      </c>
      <c r="C9" s="4" t="s">
        <v>151</v>
      </c>
      <c r="D9" s="13" t="s">
        <v>152</v>
      </c>
      <c r="E9" s="23" t="s">
        <v>130</v>
      </c>
      <c r="F9" s="28" t="s">
        <v>27</v>
      </c>
      <c r="G9" s="29" t="s">
        <v>153</v>
      </c>
      <c r="H9" s="13"/>
      <c r="I9" s="13"/>
      <c r="J9" s="29" t="s">
        <v>154</v>
      </c>
    </row>
    <row r="10">
      <c r="A10" s="30">
        <v>8.0</v>
      </c>
      <c r="B10" s="13" t="s">
        <v>142</v>
      </c>
      <c r="C10" s="4" t="s">
        <v>155</v>
      </c>
      <c r="D10" s="13" t="s">
        <v>156</v>
      </c>
      <c r="E10" s="31" t="s">
        <v>157</v>
      </c>
      <c r="F10" s="28" t="s">
        <v>27</v>
      </c>
      <c r="G10" s="29" t="s">
        <v>158</v>
      </c>
      <c r="H10" s="13"/>
      <c r="I10" s="13"/>
      <c r="J10" s="29" t="s">
        <v>159</v>
      </c>
    </row>
    <row r="11">
      <c r="A11" s="14">
        <v>9.0</v>
      </c>
      <c r="B11" s="13" t="s">
        <v>142</v>
      </c>
      <c r="C11" s="4" t="s">
        <v>160</v>
      </c>
      <c r="D11" s="13" t="s">
        <v>161</v>
      </c>
      <c r="E11" s="23" t="s">
        <v>130</v>
      </c>
      <c r="F11" s="28" t="s">
        <v>27</v>
      </c>
      <c r="G11" s="29" t="s">
        <v>162</v>
      </c>
      <c r="H11" s="13"/>
      <c r="I11" s="13"/>
      <c r="J11" s="29" t="s">
        <v>163</v>
      </c>
    </row>
    <row r="12">
      <c r="A12" s="30">
        <v>10.0</v>
      </c>
      <c r="B12" s="13" t="s">
        <v>142</v>
      </c>
      <c r="C12" s="4" t="s">
        <v>164</v>
      </c>
      <c r="D12" s="13" t="s">
        <v>165</v>
      </c>
      <c r="E12" s="23" t="s">
        <v>130</v>
      </c>
      <c r="F12" s="28" t="s">
        <v>27</v>
      </c>
      <c r="G12" s="29" t="s">
        <v>166</v>
      </c>
      <c r="H12" s="13"/>
      <c r="I12" s="13"/>
      <c r="J12" s="29" t="s">
        <v>167</v>
      </c>
    </row>
    <row r="13">
      <c r="A13" s="14">
        <v>11.0</v>
      </c>
      <c r="B13" s="13" t="s">
        <v>142</v>
      </c>
      <c r="C13" s="4" t="s">
        <v>168</v>
      </c>
      <c r="D13" s="13" t="s">
        <v>169</v>
      </c>
      <c r="E13" s="23" t="s">
        <v>130</v>
      </c>
      <c r="F13" s="28" t="s">
        <v>27</v>
      </c>
      <c r="G13" s="29" t="s">
        <v>170</v>
      </c>
      <c r="H13" s="13"/>
      <c r="I13" s="13"/>
      <c r="J13" s="13" t="s">
        <v>171</v>
      </c>
    </row>
    <row r="14">
      <c r="A14" s="30">
        <v>12.0</v>
      </c>
      <c r="B14" s="13" t="s">
        <v>142</v>
      </c>
      <c r="C14" s="4" t="s">
        <v>172</v>
      </c>
      <c r="D14" s="13" t="s">
        <v>173</v>
      </c>
      <c r="E14" s="31" t="s">
        <v>157</v>
      </c>
      <c r="F14" s="28" t="s">
        <v>27</v>
      </c>
      <c r="G14" s="29" t="s">
        <v>174</v>
      </c>
      <c r="H14" s="13"/>
      <c r="I14" s="13"/>
      <c r="J14" s="29" t="s">
        <v>175</v>
      </c>
    </row>
    <row r="15">
      <c r="A15" s="14">
        <v>13.0</v>
      </c>
      <c r="B15" s="13" t="s">
        <v>142</v>
      </c>
      <c r="C15" s="4" t="s">
        <v>176</v>
      </c>
      <c r="D15" s="13" t="s">
        <v>177</v>
      </c>
      <c r="E15" s="31" t="s">
        <v>157</v>
      </c>
      <c r="F15" s="28" t="s">
        <v>27</v>
      </c>
      <c r="G15" s="29" t="s">
        <v>178</v>
      </c>
      <c r="H15" s="13"/>
      <c r="I15" s="13"/>
      <c r="J15" s="29" t="s">
        <v>179</v>
      </c>
    </row>
    <row r="16">
      <c r="A16" s="30">
        <v>14.0</v>
      </c>
      <c r="B16" s="13" t="s">
        <v>180</v>
      </c>
      <c r="C16" s="4" t="s">
        <v>181</v>
      </c>
      <c r="D16" s="13" t="s">
        <v>182</v>
      </c>
      <c r="E16" s="31" t="s">
        <v>157</v>
      </c>
      <c r="F16" s="28" t="s">
        <v>27</v>
      </c>
      <c r="G16" s="29" t="s">
        <v>183</v>
      </c>
      <c r="H16" s="13"/>
      <c r="I16" s="13"/>
      <c r="J16" s="29" t="s">
        <v>184</v>
      </c>
    </row>
    <row r="17">
      <c r="A17" s="14">
        <v>15.0</v>
      </c>
      <c r="B17" s="13" t="s">
        <v>185</v>
      </c>
      <c r="C17" s="4" t="s">
        <v>186</v>
      </c>
      <c r="D17" s="13" t="s">
        <v>187</v>
      </c>
      <c r="E17" s="23" t="s">
        <v>130</v>
      </c>
      <c r="F17" s="28" t="s">
        <v>27</v>
      </c>
      <c r="G17" s="29" t="s">
        <v>188</v>
      </c>
      <c r="H17" s="13"/>
      <c r="I17" s="13"/>
      <c r="J17" s="13" t="s">
        <v>189</v>
      </c>
    </row>
    <row r="18">
      <c r="A18" s="30">
        <v>16.0</v>
      </c>
      <c r="B18" s="13" t="s">
        <v>185</v>
      </c>
      <c r="C18" s="4" t="s">
        <v>190</v>
      </c>
      <c r="D18" s="13" t="s">
        <v>191</v>
      </c>
      <c r="E18" s="31" t="s">
        <v>157</v>
      </c>
      <c r="F18" s="28" t="s">
        <v>27</v>
      </c>
      <c r="G18" s="29" t="s">
        <v>192</v>
      </c>
      <c r="H18" s="13"/>
      <c r="I18" s="13"/>
      <c r="J18" s="13" t="s">
        <v>193</v>
      </c>
    </row>
    <row r="19">
      <c r="A19" s="14">
        <v>17.0</v>
      </c>
      <c r="B19" s="13" t="s">
        <v>194</v>
      </c>
      <c r="C19" s="4" t="s">
        <v>195</v>
      </c>
      <c r="D19" s="13" t="s">
        <v>196</v>
      </c>
      <c r="E19" s="23" t="s">
        <v>130</v>
      </c>
      <c r="F19" s="28" t="s">
        <v>27</v>
      </c>
      <c r="G19" s="29" t="s">
        <v>197</v>
      </c>
      <c r="H19" s="13"/>
      <c r="I19" s="13"/>
      <c r="J19" s="13"/>
    </row>
    <row r="20">
      <c r="A20" s="30">
        <v>18.0</v>
      </c>
      <c r="B20" s="13" t="s">
        <v>194</v>
      </c>
      <c r="C20" s="4" t="s">
        <v>198</v>
      </c>
      <c r="D20" s="13" t="s">
        <v>199</v>
      </c>
      <c r="E20" s="31" t="s">
        <v>157</v>
      </c>
      <c r="F20" s="28" t="s">
        <v>27</v>
      </c>
      <c r="G20" s="29" t="s">
        <v>200</v>
      </c>
      <c r="H20" s="13"/>
      <c r="I20" s="13"/>
      <c r="J20" s="13"/>
    </row>
    <row r="21">
      <c r="A21" s="14">
        <v>19.0</v>
      </c>
      <c r="B21" s="13" t="s">
        <v>194</v>
      </c>
      <c r="C21" s="4" t="s">
        <v>201</v>
      </c>
      <c r="D21" s="13" t="s">
        <v>202</v>
      </c>
      <c r="E21" s="23" t="s">
        <v>130</v>
      </c>
      <c r="F21" s="28" t="s">
        <v>27</v>
      </c>
      <c r="G21" s="29" t="s">
        <v>203</v>
      </c>
      <c r="H21" s="13"/>
      <c r="I21" s="13"/>
      <c r="J21" s="13"/>
    </row>
    <row r="22">
      <c r="A22" s="30">
        <v>20.0</v>
      </c>
      <c r="B22" s="13" t="s">
        <v>194</v>
      </c>
      <c r="C22" s="4" t="s">
        <v>204</v>
      </c>
      <c r="D22" s="13" t="s">
        <v>205</v>
      </c>
      <c r="E22" s="31" t="s">
        <v>157</v>
      </c>
      <c r="F22" s="28" t="s">
        <v>27</v>
      </c>
      <c r="G22" s="29" t="s">
        <v>206</v>
      </c>
      <c r="H22" s="13"/>
      <c r="I22" s="13"/>
      <c r="J22" s="13"/>
    </row>
    <row r="23">
      <c r="A23" s="14">
        <v>21.0</v>
      </c>
      <c r="B23" s="13" t="s">
        <v>194</v>
      </c>
      <c r="C23" s="4" t="s">
        <v>207</v>
      </c>
      <c r="D23" s="13" t="s">
        <v>208</v>
      </c>
      <c r="E23" s="23" t="s">
        <v>130</v>
      </c>
      <c r="F23" s="28" t="s">
        <v>27</v>
      </c>
      <c r="G23" s="29" t="s">
        <v>209</v>
      </c>
      <c r="H23" s="13"/>
      <c r="I23" s="13"/>
      <c r="J23" s="29" t="s">
        <v>210</v>
      </c>
    </row>
    <row r="24">
      <c r="A24" s="30">
        <v>22.0</v>
      </c>
      <c r="B24" s="13" t="s">
        <v>194</v>
      </c>
      <c r="C24" s="4" t="s">
        <v>211</v>
      </c>
      <c r="D24" s="13" t="s">
        <v>212</v>
      </c>
      <c r="E24" s="23" t="s">
        <v>130</v>
      </c>
      <c r="F24" s="28" t="s">
        <v>27</v>
      </c>
      <c r="G24" s="29" t="s">
        <v>213</v>
      </c>
      <c r="H24" s="13"/>
      <c r="I24" s="13"/>
      <c r="J24" s="13" t="s">
        <v>214</v>
      </c>
    </row>
    <row r="25">
      <c r="A25" s="14">
        <v>23.0</v>
      </c>
      <c r="B25" s="13" t="s">
        <v>194</v>
      </c>
      <c r="C25" s="4" t="s">
        <v>215</v>
      </c>
      <c r="D25" s="13" t="s">
        <v>216</v>
      </c>
      <c r="E25" s="23" t="s">
        <v>130</v>
      </c>
      <c r="F25" s="28" t="s">
        <v>27</v>
      </c>
      <c r="G25" s="29" t="s">
        <v>217</v>
      </c>
      <c r="H25" s="13"/>
      <c r="I25" s="13"/>
      <c r="J25" s="13" t="s">
        <v>218</v>
      </c>
    </row>
    <row r="26">
      <c r="A26" s="30">
        <v>24.0</v>
      </c>
      <c r="B26" s="13" t="s">
        <v>219</v>
      </c>
      <c r="C26" s="4" t="s">
        <v>220</v>
      </c>
      <c r="D26" s="13" t="s">
        <v>221</v>
      </c>
      <c r="E26" s="23" t="s">
        <v>130</v>
      </c>
      <c r="F26" s="28" t="s">
        <v>27</v>
      </c>
      <c r="G26" s="29" t="s">
        <v>222</v>
      </c>
      <c r="H26" s="13"/>
      <c r="I26" s="13"/>
      <c r="J26" s="13" t="s">
        <v>223</v>
      </c>
    </row>
    <row r="27">
      <c r="A27" s="14">
        <v>25.0</v>
      </c>
      <c r="B27" s="13" t="s">
        <v>219</v>
      </c>
      <c r="C27" s="4" t="s">
        <v>224</v>
      </c>
      <c r="D27" s="13" t="s">
        <v>225</v>
      </c>
      <c r="E27" s="31" t="s">
        <v>157</v>
      </c>
      <c r="F27" s="28" t="s">
        <v>27</v>
      </c>
      <c r="G27" s="29" t="s">
        <v>226</v>
      </c>
      <c r="H27" s="13"/>
      <c r="I27" s="13"/>
      <c r="J27" s="29" t="s">
        <v>227</v>
      </c>
    </row>
    <row r="28">
      <c r="A28" s="30">
        <v>26.0</v>
      </c>
      <c r="B28" s="13" t="s">
        <v>219</v>
      </c>
      <c r="C28" s="4" t="s">
        <v>228</v>
      </c>
      <c r="D28" s="13" t="s">
        <v>229</v>
      </c>
      <c r="E28" s="31" t="s">
        <v>157</v>
      </c>
      <c r="F28" s="28" t="s">
        <v>27</v>
      </c>
      <c r="G28" s="29" t="s">
        <v>230</v>
      </c>
      <c r="H28" s="13"/>
      <c r="I28" s="13"/>
      <c r="J28" s="13" t="s">
        <v>231</v>
      </c>
    </row>
    <row r="29">
      <c r="A29" s="14">
        <v>27.0</v>
      </c>
      <c r="B29" s="13" t="s">
        <v>219</v>
      </c>
      <c r="C29" s="4" t="s">
        <v>232</v>
      </c>
      <c r="D29" s="13" t="s">
        <v>233</v>
      </c>
      <c r="E29" s="31" t="s">
        <v>157</v>
      </c>
      <c r="F29" s="28" t="s">
        <v>27</v>
      </c>
      <c r="G29" s="29" t="s">
        <v>234</v>
      </c>
      <c r="H29" s="13"/>
      <c r="I29" s="13"/>
      <c r="J29" s="13"/>
    </row>
    <row r="30">
      <c r="A30" s="30">
        <v>28.0</v>
      </c>
      <c r="B30" s="13" t="s">
        <v>235</v>
      </c>
      <c r="C30" s="4" t="s">
        <v>236</v>
      </c>
      <c r="D30" s="13" t="s">
        <v>237</v>
      </c>
      <c r="E30" s="31" t="s">
        <v>157</v>
      </c>
      <c r="F30" s="28" t="s">
        <v>27</v>
      </c>
      <c r="G30" s="29" t="s">
        <v>238</v>
      </c>
      <c r="H30" s="13"/>
      <c r="I30" s="13"/>
      <c r="J30" s="13" t="s">
        <v>239</v>
      </c>
    </row>
    <row r="31">
      <c r="A31" s="14">
        <v>29.0</v>
      </c>
      <c r="B31" s="13" t="s">
        <v>235</v>
      </c>
      <c r="C31" s="4" t="s">
        <v>240</v>
      </c>
      <c r="D31" s="13" t="s">
        <v>241</v>
      </c>
      <c r="E31" s="31" t="s">
        <v>157</v>
      </c>
      <c r="F31" s="28" t="s">
        <v>27</v>
      </c>
      <c r="G31" s="29" t="s">
        <v>242</v>
      </c>
      <c r="H31" s="13"/>
      <c r="I31" s="13"/>
      <c r="J31" s="13"/>
    </row>
    <row r="32" ht="15.75" customHeight="1">
      <c r="G32" s="26"/>
    </row>
    <row r="33" ht="15.75" customHeight="1">
      <c r="G33" s="26"/>
    </row>
    <row r="34" ht="15.75" customHeight="1">
      <c r="G34" s="26"/>
    </row>
    <row r="35" ht="15.75" customHeight="1">
      <c r="G35" s="26"/>
    </row>
    <row r="36" ht="15.75" customHeight="1">
      <c r="G36" s="26"/>
    </row>
    <row r="37" ht="15.75" customHeight="1">
      <c r="G37" s="26"/>
    </row>
    <row r="38" ht="15.75" customHeight="1">
      <c r="G38" s="26"/>
    </row>
    <row r="39" ht="15.75" customHeight="1">
      <c r="G39" s="26"/>
    </row>
    <row r="40" ht="15.75" customHeight="1">
      <c r="G40" s="26"/>
    </row>
    <row r="41" ht="15.75" customHeight="1">
      <c r="G41" s="26"/>
    </row>
    <row r="42" ht="15.75" customHeight="1">
      <c r="G42" s="26"/>
    </row>
    <row r="43" ht="15.75" customHeight="1">
      <c r="G43" s="26"/>
    </row>
    <row r="44" ht="15.75" customHeight="1">
      <c r="G44" s="26"/>
    </row>
    <row r="45" ht="15.75" customHeight="1">
      <c r="G45" s="26"/>
    </row>
    <row r="46" ht="15.75" customHeight="1">
      <c r="G46" s="26"/>
    </row>
    <row r="47" ht="15.75" customHeight="1">
      <c r="G47" s="26"/>
    </row>
    <row r="48" ht="15.75" customHeight="1">
      <c r="G48" s="26"/>
    </row>
    <row r="49" ht="15.75" customHeight="1">
      <c r="G49" s="26"/>
    </row>
    <row r="50" ht="15.75" customHeight="1">
      <c r="G50" s="26"/>
    </row>
    <row r="51" ht="15.75" customHeight="1">
      <c r="G51" s="26"/>
    </row>
    <row r="52" ht="15.75" customHeight="1">
      <c r="G52" s="26"/>
    </row>
    <row r="53" ht="15.75" customHeight="1">
      <c r="G53" s="26"/>
    </row>
    <row r="54" ht="15.75" customHeight="1">
      <c r="G54" s="26"/>
    </row>
    <row r="55" ht="15.75" customHeight="1">
      <c r="G55" s="26"/>
    </row>
    <row r="56" ht="15.75" customHeight="1">
      <c r="G56" s="26"/>
    </row>
    <row r="57" ht="15.75" customHeight="1">
      <c r="G57" s="26"/>
    </row>
    <row r="58" ht="15.75" customHeight="1">
      <c r="G58" s="26"/>
    </row>
    <row r="59" ht="15.75" customHeight="1">
      <c r="G59" s="26"/>
    </row>
    <row r="60" ht="15.75" customHeight="1">
      <c r="G60" s="26"/>
    </row>
    <row r="61" ht="15.75" customHeight="1">
      <c r="G61" s="26"/>
    </row>
    <row r="62" ht="15.75" customHeight="1">
      <c r="G62" s="26"/>
    </row>
    <row r="63" ht="15.75" customHeight="1">
      <c r="G63" s="26"/>
    </row>
    <row r="64" ht="15.75" customHeight="1">
      <c r="G64" s="26"/>
    </row>
    <row r="65" ht="15.75" customHeight="1">
      <c r="G65" s="26"/>
    </row>
    <row r="66" ht="15.75" customHeight="1">
      <c r="G66" s="26"/>
    </row>
    <row r="67" ht="15.75" customHeight="1">
      <c r="G67" s="26"/>
    </row>
    <row r="68" ht="15.75" customHeight="1">
      <c r="G68" s="26"/>
    </row>
    <row r="69" ht="15.75" customHeight="1">
      <c r="G69" s="26"/>
    </row>
    <row r="70" ht="15.75" customHeight="1">
      <c r="G70" s="26"/>
    </row>
    <row r="71" ht="15.75" customHeight="1">
      <c r="G71" s="26"/>
    </row>
    <row r="72" ht="15.75" customHeight="1">
      <c r="G72" s="26"/>
    </row>
    <row r="73" ht="15.75" customHeight="1">
      <c r="G73" s="26"/>
    </row>
    <row r="74" ht="15.75" customHeight="1">
      <c r="G74" s="26"/>
    </row>
    <row r="75" ht="15.75" customHeight="1">
      <c r="G75" s="26"/>
    </row>
    <row r="76" ht="15.75" customHeight="1">
      <c r="G76" s="26"/>
    </row>
    <row r="77" ht="15.75" customHeight="1">
      <c r="G77" s="26"/>
    </row>
    <row r="78" ht="15.75" customHeight="1">
      <c r="G78" s="26"/>
    </row>
    <row r="79" ht="15.75" customHeight="1">
      <c r="G79" s="26"/>
    </row>
    <row r="80" ht="15.75" customHeight="1">
      <c r="G80" s="26"/>
    </row>
    <row r="81" ht="15.75" customHeight="1">
      <c r="G81" s="26"/>
    </row>
    <row r="82" ht="15.75" customHeight="1">
      <c r="G82" s="26"/>
    </row>
    <row r="83" ht="15.75" customHeight="1">
      <c r="G83" s="26"/>
    </row>
    <row r="84" ht="15.75" customHeight="1">
      <c r="G84" s="26"/>
    </row>
    <row r="85" ht="15.75" customHeight="1">
      <c r="G85" s="26"/>
    </row>
    <row r="86" ht="15.75" customHeight="1">
      <c r="G86" s="26"/>
    </row>
    <row r="87" ht="15.75" customHeight="1">
      <c r="G87" s="26"/>
    </row>
    <row r="88" ht="15.75" customHeight="1">
      <c r="G88" s="26"/>
    </row>
    <row r="89" ht="15.75" customHeight="1">
      <c r="G89" s="26"/>
    </row>
    <row r="90" ht="15.75" customHeight="1">
      <c r="G90" s="26"/>
    </row>
    <row r="91" ht="15.75" customHeight="1">
      <c r="G91" s="26"/>
    </row>
    <row r="92" ht="15.75" customHeight="1">
      <c r="G92" s="26"/>
    </row>
    <row r="93" ht="15.75" customHeight="1">
      <c r="G93" s="26"/>
    </row>
    <row r="94" ht="15.75" customHeight="1">
      <c r="G94" s="26"/>
    </row>
    <row r="95" ht="15.75" customHeight="1">
      <c r="G95" s="26"/>
    </row>
    <row r="96" ht="15.75" customHeight="1">
      <c r="G96" s="26"/>
    </row>
    <row r="97" ht="15.75" customHeight="1">
      <c r="G97" s="26"/>
    </row>
    <row r="98" ht="15.75" customHeight="1">
      <c r="G98" s="26"/>
    </row>
    <row r="99" ht="15.75" customHeight="1">
      <c r="G99" s="26"/>
    </row>
    <row r="100" ht="15.75" customHeight="1">
      <c r="G100" s="26"/>
    </row>
    <row r="101" ht="15.75" customHeight="1">
      <c r="G101" s="26"/>
    </row>
    <row r="102" ht="15.75" customHeight="1">
      <c r="G102" s="26"/>
    </row>
    <row r="103" ht="15.75" customHeight="1">
      <c r="G103" s="26"/>
    </row>
    <row r="104" ht="15.75" customHeight="1">
      <c r="G104" s="26"/>
    </row>
    <row r="105" ht="15.75" customHeight="1">
      <c r="G105" s="26"/>
    </row>
    <row r="106" ht="15.75" customHeight="1">
      <c r="G106" s="26"/>
    </row>
    <row r="107" ht="15.75" customHeight="1">
      <c r="G107" s="26"/>
    </row>
    <row r="108" ht="15.75" customHeight="1">
      <c r="G108" s="26"/>
    </row>
    <row r="109" ht="15.75" customHeight="1">
      <c r="G109" s="26"/>
    </row>
    <row r="110" ht="15.75" customHeight="1">
      <c r="G110" s="26"/>
    </row>
    <row r="111" ht="15.75" customHeight="1">
      <c r="G111" s="26"/>
    </row>
    <row r="112" ht="15.75" customHeight="1">
      <c r="G112" s="26"/>
    </row>
    <row r="113" ht="15.75" customHeight="1">
      <c r="G113" s="26"/>
    </row>
    <row r="114" ht="15.75" customHeight="1">
      <c r="G114" s="26"/>
    </row>
    <row r="115" ht="15.75" customHeight="1">
      <c r="G115" s="26"/>
    </row>
    <row r="116" ht="15.75" customHeight="1">
      <c r="G116" s="26"/>
    </row>
    <row r="117" ht="15.75" customHeight="1">
      <c r="G117" s="26"/>
    </row>
    <row r="118" ht="15.75" customHeight="1">
      <c r="G118" s="26"/>
    </row>
    <row r="119" ht="15.75" customHeight="1">
      <c r="G119" s="26"/>
    </row>
    <row r="120" ht="15.75" customHeight="1">
      <c r="G120" s="26"/>
    </row>
    <row r="121" ht="15.75" customHeight="1">
      <c r="G121" s="26"/>
    </row>
    <row r="122" ht="15.75" customHeight="1">
      <c r="G122" s="26"/>
    </row>
    <row r="123" ht="15.75" customHeight="1">
      <c r="G123" s="26"/>
    </row>
    <row r="124" ht="15.75" customHeight="1">
      <c r="G124" s="26"/>
    </row>
    <row r="125" ht="15.75" customHeight="1">
      <c r="G125" s="26"/>
    </row>
    <row r="126" ht="15.75" customHeight="1">
      <c r="G126" s="26"/>
    </row>
    <row r="127" ht="15.75" customHeight="1">
      <c r="G127" s="26"/>
    </row>
    <row r="128" ht="15.75" customHeight="1">
      <c r="G128" s="26"/>
    </row>
    <row r="129" ht="15.75" customHeight="1">
      <c r="G129" s="26"/>
    </row>
    <row r="130" ht="15.75" customHeight="1">
      <c r="G130" s="26"/>
    </row>
    <row r="131" ht="15.75" customHeight="1">
      <c r="G131" s="26"/>
    </row>
    <row r="132" ht="15.75" customHeight="1">
      <c r="G132" s="26"/>
    </row>
    <row r="133" ht="15.75" customHeight="1">
      <c r="G133" s="26"/>
    </row>
    <row r="134" ht="15.75" customHeight="1">
      <c r="G134" s="26"/>
    </row>
    <row r="135" ht="15.75" customHeight="1">
      <c r="G135" s="26"/>
    </row>
    <row r="136" ht="15.75" customHeight="1">
      <c r="G136" s="26"/>
    </row>
    <row r="137" ht="15.75" customHeight="1">
      <c r="G137" s="26"/>
    </row>
    <row r="138" ht="15.75" customHeight="1">
      <c r="G138" s="26"/>
    </row>
    <row r="139" ht="15.75" customHeight="1">
      <c r="G139" s="26"/>
    </row>
    <row r="140" ht="15.75" customHeight="1">
      <c r="G140" s="26"/>
    </row>
    <row r="141" ht="15.75" customHeight="1">
      <c r="G141" s="26"/>
    </row>
    <row r="142" ht="15.75" customHeight="1">
      <c r="G142" s="26"/>
    </row>
    <row r="143" ht="15.75" customHeight="1">
      <c r="G143" s="26"/>
    </row>
    <row r="144" ht="15.75" customHeight="1">
      <c r="G144" s="26"/>
    </row>
    <row r="145" ht="15.75" customHeight="1">
      <c r="G145" s="26"/>
    </row>
    <row r="146" ht="15.75" customHeight="1">
      <c r="G146" s="26"/>
    </row>
    <row r="147" ht="15.75" customHeight="1">
      <c r="G147" s="26"/>
    </row>
    <row r="148" ht="15.75" customHeight="1">
      <c r="G148" s="26"/>
    </row>
    <row r="149" ht="15.75" customHeight="1">
      <c r="G149" s="26"/>
    </row>
    <row r="150" ht="15.75" customHeight="1">
      <c r="G150" s="26"/>
    </row>
    <row r="151" ht="15.75" customHeight="1">
      <c r="G151" s="26"/>
    </row>
    <row r="152" ht="15.75" customHeight="1">
      <c r="G152" s="26"/>
    </row>
    <row r="153" ht="15.75" customHeight="1">
      <c r="G153" s="26"/>
    </row>
    <row r="154" ht="15.75" customHeight="1">
      <c r="G154" s="26"/>
    </row>
    <row r="155" ht="15.75" customHeight="1">
      <c r="G155" s="26"/>
    </row>
    <row r="156" ht="15.75" customHeight="1">
      <c r="G156" s="26"/>
    </row>
    <row r="157" ht="15.75" customHeight="1">
      <c r="G157" s="26"/>
    </row>
    <row r="158" ht="15.75" customHeight="1">
      <c r="G158" s="26"/>
    </row>
    <row r="159" ht="15.75" customHeight="1">
      <c r="G159" s="26"/>
    </row>
    <row r="160" ht="15.75" customHeight="1">
      <c r="G160" s="26"/>
    </row>
    <row r="161" ht="15.75" customHeight="1">
      <c r="G161" s="26"/>
    </row>
    <row r="162" ht="15.75" customHeight="1">
      <c r="G162" s="26"/>
    </row>
    <row r="163" ht="15.75" customHeight="1">
      <c r="G163" s="26"/>
    </row>
    <row r="164" ht="15.75" customHeight="1">
      <c r="G164" s="26"/>
    </row>
    <row r="165" ht="15.75" customHeight="1">
      <c r="G165" s="26"/>
    </row>
    <row r="166" ht="15.75" customHeight="1">
      <c r="G166" s="26"/>
    </row>
    <row r="167" ht="15.75" customHeight="1">
      <c r="G167" s="26"/>
    </row>
    <row r="168" ht="15.75" customHeight="1">
      <c r="G168" s="26"/>
    </row>
    <row r="169" ht="15.75" customHeight="1">
      <c r="G169" s="26"/>
    </row>
    <row r="170" ht="15.75" customHeight="1">
      <c r="G170" s="26"/>
    </row>
    <row r="171" ht="15.75" customHeight="1">
      <c r="G171" s="26"/>
    </row>
    <row r="172" ht="15.75" customHeight="1">
      <c r="G172" s="26"/>
    </row>
    <row r="173" ht="15.75" customHeight="1">
      <c r="G173" s="26"/>
    </row>
    <row r="174" ht="15.75" customHeight="1">
      <c r="G174" s="26"/>
    </row>
    <row r="175" ht="15.75" customHeight="1">
      <c r="G175" s="26"/>
    </row>
    <row r="176" ht="15.75" customHeight="1">
      <c r="G176" s="26"/>
    </row>
    <row r="177" ht="15.75" customHeight="1">
      <c r="G177" s="26"/>
    </row>
    <row r="178" ht="15.75" customHeight="1">
      <c r="G178" s="26"/>
    </row>
    <row r="179" ht="15.75" customHeight="1">
      <c r="G179" s="26"/>
    </row>
    <row r="180" ht="15.75" customHeight="1">
      <c r="G180" s="26"/>
    </row>
    <row r="181" ht="15.75" customHeight="1">
      <c r="G181" s="26"/>
    </row>
    <row r="182" ht="15.75" customHeight="1">
      <c r="G182" s="26"/>
    </row>
    <row r="183" ht="15.75" customHeight="1">
      <c r="G183" s="26"/>
    </row>
    <row r="184" ht="15.75" customHeight="1">
      <c r="G184" s="26"/>
    </row>
    <row r="185" ht="15.75" customHeight="1">
      <c r="G185" s="26"/>
    </row>
    <row r="186" ht="15.75" customHeight="1">
      <c r="G186" s="26"/>
    </row>
    <row r="187" ht="15.75" customHeight="1">
      <c r="G187" s="26"/>
    </row>
    <row r="188" ht="15.75" customHeight="1">
      <c r="G188" s="26"/>
    </row>
    <row r="189" ht="15.75" customHeight="1">
      <c r="G189" s="26"/>
    </row>
    <row r="190" ht="15.75" customHeight="1">
      <c r="G190" s="26"/>
    </row>
    <row r="191" ht="15.75" customHeight="1">
      <c r="G191" s="26"/>
    </row>
    <row r="192" ht="15.75" customHeight="1">
      <c r="G192" s="26"/>
    </row>
    <row r="193" ht="15.75" customHeight="1">
      <c r="G193" s="26"/>
    </row>
    <row r="194" ht="15.75" customHeight="1">
      <c r="G194" s="26"/>
    </row>
    <row r="195" ht="15.75" customHeight="1">
      <c r="G195" s="26"/>
    </row>
    <row r="196" ht="15.75" customHeight="1">
      <c r="G196" s="26"/>
    </row>
    <row r="197" ht="15.75" customHeight="1">
      <c r="G197" s="26"/>
    </row>
    <row r="198" ht="15.75" customHeight="1">
      <c r="G198" s="26"/>
    </row>
    <row r="199" ht="15.75" customHeight="1">
      <c r="G199" s="26"/>
    </row>
    <row r="200" ht="15.75" customHeight="1">
      <c r="G200" s="26"/>
    </row>
    <row r="201" ht="15.75" customHeight="1">
      <c r="G201" s="26"/>
    </row>
    <row r="202" ht="15.75" customHeight="1">
      <c r="G202" s="26"/>
    </row>
    <row r="203" ht="15.75" customHeight="1">
      <c r="G203" s="26"/>
    </row>
    <row r="204" ht="15.75" customHeight="1">
      <c r="G204" s="26"/>
    </row>
    <row r="205" ht="15.75" customHeight="1">
      <c r="G205" s="26"/>
    </row>
    <row r="206" ht="15.75" customHeight="1">
      <c r="G206" s="26"/>
    </row>
    <row r="207" ht="15.75" customHeight="1">
      <c r="G207" s="26"/>
    </row>
    <row r="208" ht="15.75" customHeight="1">
      <c r="G208" s="26"/>
    </row>
    <row r="209" ht="15.75" customHeight="1">
      <c r="G209" s="26"/>
    </row>
    <row r="210" ht="15.75" customHeight="1">
      <c r="G210" s="26"/>
    </row>
    <row r="211" ht="15.75" customHeight="1">
      <c r="G211" s="26"/>
    </row>
    <row r="212" ht="15.75" customHeight="1">
      <c r="G212" s="26"/>
    </row>
    <row r="213" ht="15.75" customHeight="1">
      <c r="G213" s="26"/>
    </row>
    <row r="214" ht="15.75" customHeight="1">
      <c r="G214" s="26"/>
    </row>
    <row r="215" ht="15.75" customHeight="1">
      <c r="G215" s="26"/>
    </row>
    <row r="216" ht="15.75" customHeight="1">
      <c r="G216" s="26"/>
    </row>
    <row r="217" ht="15.75" customHeight="1">
      <c r="G217" s="26"/>
    </row>
    <row r="218" ht="15.75" customHeight="1">
      <c r="G218" s="26"/>
    </row>
    <row r="219" ht="15.75" customHeight="1">
      <c r="G219" s="26"/>
    </row>
    <row r="220" ht="15.75" customHeight="1">
      <c r="G220" s="26"/>
    </row>
    <row r="221" ht="15.75" customHeight="1">
      <c r="G221" s="26"/>
    </row>
    <row r="222" ht="15.75" customHeight="1">
      <c r="G222" s="26"/>
    </row>
    <row r="223" ht="15.75" customHeight="1">
      <c r="G223" s="26"/>
    </row>
    <row r="224" ht="15.75" customHeight="1">
      <c r="G224" s="26"/>
    </row>
    <row r="225" ht="15.75" customHeight="1">
      <c r="G225" s="26"/>
    </row>
    <row r="226" ht="15.75" customHeight="1">
      <c r="G226" s="26"/>
    </row>
    <row r="227" ht="15.75" customHeight="1">
      <c r="G227" s="26"/>
    </row>
    <row r="228" ht="15.75" customHeight="1">
      <c r="G228" s="26"/>
    </row>
    <row r="229" ht="15.75" customHeight="1">
      <c r="G229" s="26"/>
    </row>
    <row r="230" ht="15.75" customHeight="1">
      <c r="G230" s="26"/>
    </row>
    <row r="231" ht="15.75" customHeight="1">
      <c r="G231" s="26"/>
    </row>
    <row r="232" ht="15.75" customHeight="1">
      <c r="G232" s="26"/>
    </row>
    <row r="233" ht="15.75" customHeight="1">
      <c r="G233" s="26"/>
    </row>
    <row r="234" ht="15.75" customHeight="1">
      <c r="G234" s="26"/>
    </row>
    <row r="235" ht="15.75" customHeight="1">
      <c r="G235" s="26"/>
    </row>
    <row r="236" ht="15.75" customHeight="1">
      <c r="G236" s="26"/>
    </row>
    <row r="237" ht="15.75" customHeight="1">
      <c r="G237" s="26"/>
    </row>
    <row r="238" ht="15.75" customHeight="1">
      <c r="G238" s="26"/>
    </row>
    <row r="239" ht="15.75" customHeight="1">
      <c r="G239" s="26"/>
    </row>
    <row r="240" ht="15.75" customHeight="1">
      <c r="G240" s="26"/>
    </row>
    <row r="241" ht="15.75" customHeight="1">
      <c r="G241" s="26"/>
    </row>
    <row r="242" ht="15.75" customHeight="1">
      <c r="G242" s="26"/>
    </row>
    <row r="243" ht="15.75" customHeight="1">
      <c r="G243" s="26"/>
    </row>
    <row r="244" ht="15.75" customHeight="1">
      <c r="G244" s="26"/>
    </row>
    <row r="245" ht="15.75" customHeight="1">
      <c r="G245" s="26"/>
    </row>
    <row r="246" ht="15.75" customHeight="1">
      <c r="G246" s="26"/>
    </row>
    <row r="247" ht="15.75" customHeight="1">
      <c r="G247" s="26"/>
    </row>
    <row r="248" ht="15.75" customHeight="1">
      <c r="G248" s="26"/>
    </row>
    <row r="249" ht="15.75" customHeight="1">
      <c r="G249" s="26"/>
    </row>
    <row r="250" ht="15.75" customHeight="1">
      <c r="G250" s="26"/>
    </row>
    <row r="251" ht="15.75" customHeight="1">
      <c r="G251" s="26"/>
    </row>
    <row r="252" ht="15.75" customHeight="1">
      <c r="G252" s="26"/>
    </row>
    <row r="253" ht="15.75" customHeight="1">
      <c r="G253" s="26"/>
    </row>
    <row r="254" ht="15.75" customHeight="1">
      <c r="G254" s="26"/>
    </row>
    <row r="255" ht="15.75" customHeight="1">
      <c r="G255" s="26"/>
    </row>
    <row r="256" ht="15.75" customHeight="1">
      <c r="G256" s="26"/>
    </row>
    <row r="257" ht="15.75" customHeight="1">
      <c r="G257" s="26"/>
    </row>
    <row r="258" ht="15.75" customHeight="1">
      <c r="G258" s="26"/>
    </row>
    <row r="259" ht="15.75" customHeight="1">
      <c r="G259" s="26"/>
    </row>
    <row r="260" ht="15.75" customHeight="1">
      <c r="G260" s="26"/>
    </row>
    <row r="261" ht="15.75" customHeight="1">
      <c r="G261" s="26"/>
    </row>
    <row r="262" ht="15.75" customHeight="1">
      <c r="G262" s="26"/>
    </row>
    <row r="263" ht="15.75" customHeight="1">
      <c r="G263" s="26"/>
    </row>
    <row r="264" ht="15.75" customHeight="1">
      <c r="G264" s="26"/>
    </row>
    <row r="265" ht="15.75" customHeight="1">
      <c r="G265" s="26"/>
    </row>
    <row r="266" ht="15.75" customHeight="1">
      <c r="G266" s="26"/>
    </row>
    <row r="267" ht="15.75" customHeight="1">
      <c r="G267" s="26"/>
    </row>
    <row r="268" ht="15.75" customHeight="1">
      <c r="G268" s="26"/>
    </row>
    <row r="269" ht="15.75" customHeight="1">
      <c r="G269" s="26"/>
    </row>
    <row r="270" ht="15.75" customHeight="1">
      <c r="G270" s="26"/>
    </row>
    <row r="271" ht="15.75" customHeight="1">
      <c r="G271" s="26"/>
    </row>
    <row r="272" ht="15.75" customHeight="1">
      <c r="G272" s="26"/>
    </row>
    <row r="273" ht="15.75" customHeight="1">
      <c r="G273" s="26"/>
    </row>
    <row r="274" ht="15.75" customHeight="1">
      <c r="G274" s="26"/>
    </row>
    <row r="275" ht="15.75" customHeight="1">
      <c r="G275" s="26"/>
    </row>
    <row r="276" ht="15.75" customHeight="1">
      <c r="G276" s="26"/>
    </row>
    <row r="277" ht="15.75" customHeight="1">
      <c r="G277" s="26"/>
    </row>
    <row r="278" ht="15.75" customHeight="1">
      <c r="G278" s="26"/>
    </row>
    <row r="279" ht="15.75" customHeight="1">
      <c r="G279" s="26"/>
    </row>
    <row r="280" ht="15.75" customHeight="1">
      <c r="G280" s="26"/>
    </row>
    <row r="281" ht="15.75" customHeight="1">
      <c r="G281" s="26"/>
    </row>
    <row r="282" ht="15.75" customHeight="1">
      <c r="G282" s="26"/>
    </row>
    <row r="283" ht="15.75" customHeight="1">
      <c r="G283" s="26"/>
    </row>
    <row r="284" ht="15.75" customHeight="1">
      <c r="G284" s="26"/>
    </row>
    <row r="285" ht="15.75" customHeight="1">
      <c r="G285" s="26"/>
    </row>
    <row r="286" ht="15.75" customHeight="1">
      <c r="G286" s="26"/>
    </row>
    <row r="287" ht="15.75" customHeight="1">
      <c r="G287" s="26"/>
    </row>
    <row r="288" ht="15.75" customHeight="1">
      <c r="G288" s="26"/>
    </row>
    <row r="289" ht="15.75" customHeight="1">
      <c r="G289" s="26"/>
    </row>
    <row r="290" ht="15.75" customHeight="1">
      <c r="G290" s="26"/>
    </row>
    <row r="291" ht="15.75" customHeight="1">
      <c r="G291" s="26"/>
    </row>
    <row r="292" ht="15.75" customHeight="1">
      <c r="G292" s="26"/>
    </row>
    <row r="293" ht="15.75" customHeight="1">
      <c r="G293" s="26"/>
    </row>
    <row r="294" ht="15.75" customHeight="1">
      <c r="G294" s="26"/>
    </row>
    <row r="295" ht="15.75" customHeight="1">
      <c r="G295" s="26"/>
    </row>
    <row r="296" ht="15.75" customHeight="1">
      <c r="G296" s="26"/>
    </row>
    <row r="297" ht="15.75" customHeight="1">
      <c r="G297" s="26"/>
    </row>
    <row r="298" ht="15.75" customHeight="1">
      <c r="G298" s="26"/>
    </row>
    <row r="299" ht="15.75" customHeight="1">
      <c r="G299" s="26"/>
    </row>
    <row r="300" ht="15.75" customHeight="1">
      <c r="G300" s="26"/>
    </row>
    <row r="301" ht="15.75" customHeight="1">
      <c r="G301" s="26"/>
    </row>
    <row r="302" ht="15.75" customHeight="1">
      <c r="G302" s="26"/>
    </row>
    <row r="303" ht="15.75" customHeight="1">
      <c r="G303" s="26"/>
    </row>
    <row r="304" ht="15.75" customHeight="1">
      <c r="G304" s="26"/>
    </row>
    <row r="305" ht="15.75" customHeight="1">
      <c r="G305" s="26"/>
    </row>
    <row r="306" ht="15.75" customHeight="1">
      <c r="G306" s="26"/>
    </row>
    <row r="307" ht="15.75" customHeight="1">
      <c r="G307" s="26"/>
    </row>
    <row r="308" ht="15.75" customHeight="1">
      <c r="G308" s="26"/>
    </row>
    <row r="309" ht="15.75" customHeight="1">
      <c r="G309" s="26"/>
    </row>
    <row r="310" ht="15.75" customHeight="1">
      <c r="G310" s="26"/>
    </row>
    <row r="311" ht="15.75" customHeight="1">
      <c r="G311" s="26"/>
    </row>
    <row r="312" ht="15.75" customHeight="1">
      <c r="G312" s="26"/>
    </row>
    <row r="313" ht="15.75" customHeight="1">
      <c r="G313" s="26"/>
    </row>
    <row r="314" ht="15.75" customHeight="1">
      <c r="G314" s="26"/>
    </row>
    <row r="315" ht="15.75" customHeight="1">
      <c r="G315" s="26"/>
    </row>
    <row r="316" ht="15.75" customHeight="1">
      <c r="G316" s="26"/>
    </row>
    <row r="317" ht="15.75" customHeight="1">
      <c r="G317" s="26"/>
    </row>
    <row r="318" ht="15.75" customHeight="1">
      <c r="G318" s="26"/>
    </row>
    <row r="319" ht="15.75" customHeight="1">
      <c r="G319" s="26"/>
    </row>
    <row r="320" ht="15.75" customHeight="1">
      <c r="G320" s="26"/>
    </row>
    <row r="321" ht="15.75" customHeight="1">
      <c r="G321" s="26"/>
    </row>
    <row r="322" ht="15.75" customHeight="1">
      <c r="G322" s="26"/>
    </row>
    <row r="323" ht="15.75" customHeight="1">
      <c r="G323" s="26"/>
    </row>
    <row r="324" ht="15.75" customHeight="1">
      <c r="G324" s="26"/>
    </row>
    <row r="325" ht="15.75" customHeight="1">
      <c r="G325" s="26"/>
    </row>
    <row r="326" ht="15.75" customHeight="1">
      <c r="G326" s="26"/>
    </row>
    <row r="327" ht="15.75" customHeight="1">
      <c r="G327" s="26"/>
    </row>
    <row r="328" ht="15.75" customHeight="1">
      <c r="G328" s="26"/>
    </row>
    <row r="329" ht="15.75" customHeight="1">
      <c r="G329" s="26"/>
    </row>
    <row r="330" ht="15.75" customHeight="1">
      <c r="G330" s="26"/>
    </row>
    <row r="331" ht="15.75" customHeight="1">
      <c r="G331" s="26"/>
    </row>
    <row r="332" ht="15.75" customHeight="1">
      <c r="G332" s="26"/>
    </row>
    <row r="333" ht="15.75" customHeight="1">
      <c r="G333" s="26"/>
    </row>
    <row r="334" ht="15.75" customHeight="1">
      <c r="G334" s="26"/>
    </row>
    <row r="335" ht="15.75" customHeight="1">
      <c r="G335" s="26"/>
    </row>
    <row r="336" ht="15.75" customHeight="1">
      <c r="G336" s="26"/>
    </row>
    <row r="337" ht="15.75" customHeight="1">
      <c r="G337" s="26"/>
    </row>
    <row r="338" ht="15.75" customHeight="1">
      <c r="G338" s="26"/>
    </row>
    <row r="339" ht="15.75" customHeight="1">
      <c r="G339" s="26"/>
    </row>
    <row r="340" ht="15.75" customHeight="1">
      <c r="G340" s="26"/>
    </row>
    <row r="341" ht="15.75" customHeight="1">
      <c r="G341" s="26"/>
    </row>
    <row r="342" ht="15.75" customHeight="1">
      <c r="G342" s="26"/>
    </row>
    <row r="343" ht="15.75" customHeight="1">
      <c r="G343" s="26"/>
    </row>
    <row r="344" ht="15.75" customHeight="1">
      <c r="G344" s="26"/>
    </row>
    <row r="345" ht="15.75" customHeight="1">
      <c r="G345" s="26"/>
    </row>
    <row r="346" ht="15.75" customHeight="1">
      <c r="G346" s="26"/>
    </row>
    <row r="347" ht="15.75" customHeight="1">
      <c r="G347" s="26"/>
    </row>
    <row r="348" ht="15.75" customHeight="1">
      <c r="G348" s="26"/>
    </row>
    <row r="349" ht="15.75" customHeight="1">
      <c r="G349" s="26"/>
    </row>
    <row r="350" ht="15.75" customHeight="1">
      <c r="G350" s="26"/>
    </row>
    <row r="351" ht="15.75" customHeight="1">
      <c r="G351" s="26"/>
    </row>
    <row r="352" ht="15.75" customHeight="1">
      <c r="G352" s="26"/>
    </row>
    <row r="353" ht="15.75" customHeight="1">
      <c r="G353" s="26"/>
    </row>
    <row r="354" ht="15.75" customHeight="1">
      <c r="G354" s="26"/>
    </row>
    <row r="355" ht="15.75" customHeight="1">
      <c r="G355" s="26"/>
    </row>
    <row r="356" ht="15.75" customHeight="1">
      <c r="G356" s="26"/>
    </row>
    <row r="357" ht="15.75" customHeight="1">
      <c r="G357" s="26"/>
    </row>
    <row r="358" ht="15.75" customHeight="1">
      <c r="G358" s="26"/>
    </row>
    <row r="359" ht="15.75" customHeight="1">
      <c r="G359" s="26"/>
    </row>
    <row r="360" ht="15.75" customHeight="1">
      <c r="G360" s="26"/>
    </row>
    <row r="361" ht="15.75" customHeight="1">
      <c r="G361" s="26"/>
    </row>
    <row r="362" ht="15.75" customHeight="1">
      <c r="G362" s="26"/>
    </row>
    <row r="363" ht="15.75" customHeight="1">
      <c r="G363" s="26"/>
    </row>
    <row r="364" ht="15.75" customHeight="1">
      <c r="G364" s="26"/>
    </row>
    <row r="365" ht="15.75" customHeight="1">
      <c r="G365" s="26"/>
    </row>
    <row r="366" ht="15.75" customHeight="1">
      <c r="G366" s="26"/>
    </row>
    <row r="367" ht="15.75" customHeight="1">
      <c r="G367" s="26"/>
    </row>
    <row r="368" ht="15.75" customHeight="1">
      <c r="G368" s="26"/>
    </row>
    <row r="369" ht="15.75" customHeight="1">
      <c r="G369" s="26"/>
    </row>
    <row r="370" ht="15.75" customHeight="1">
      <c r="G370" s="26"/>
    </row>
    <row r="371" ht="15.75" customHeight="1">
      <c r="G371" s="26"/>
    </row>
    <row r="372" ht="15.75" customHeight="1">
      <c r="G372" s="26"/>
    </row>
    <row r="373" ht="15.75" customHeight="1">
      <c r="G373" s="26"/>
    </row>
    <row r="374" ht="15.75" customHeight="1">
      <c r="G374" s="26"/>
    </row>
    <row r="375" ht="15.75" customHeight="1">
      <c r="G375" s="26"/>
    </row>
    <row r="376" ht="15.75" customHeight="1">
      <c r="G376" s="26"/>
    </row>
    <row r="377" ht="15.75" customHeight="1">
      <c r="G377" s="26"/>
    </row>
    <row r="378" ht="15.75" customHeight="1">
      <c r="G378" s="26"/>
    </row>
    <row r="379" ht="15.75" customHeight="1">
      <c r="G379" s="26"/>
    </row>
    <row r="380" ht="15.75" customHeight="1">
      <c r="G380" s="26"/>
    </row>
    <row r="381" ht="15.75" customHeight="1">
      <c r="G381" s="26"/>
    </row>
    <row r="382" ht="15.75" customHeight="1">
      <c r="G382" s="26"/>
    </row>
    <row r="383" ht="15.75" customHeight="1">
      <c r="G383" s="26"/>
    </row>
    <row r="384" ht="15.75" customHeight="1">
      <c r="G384" s="26"/>
    </row>
    <row r="385" ht="15.75" customHeight="1">
      <c r="G385" s="26"/>
    </row>
    <row r="386" ht="15.75" customHeight="1">
      <c r="G386" s="26"/>
    </row>
    <row r="387" ht="15.75" customHeight="1">
      <c r="G387" s="26"/>
    </row>
    <row r="388" ht="15.75" customHeight="1">
      <c r="G388" s="26"/>
    </row>
    <row r="389" ht="15.75" customHeight="1">
      <c r="G389" s="26"/>
    </row>
    <row r="390" ht="15.75" customHeight="1">
      <c r="G390" s="26"/>
    </row>
    <row r="391" ht="15.75" customHeight="1">
      <c r="G391" s="26"/>
    </row>
    <row r="392" ht="15.75" customHeight="1">
      <c r="G392" s="26"/>
    </row>
    <row r="393" ht="15.75" customHeight="1">
      <c r="G393" s="26"/>
    </row>
    <row r="394" ht="15.75" customHeight="1">
      <c r="G394" s="26"/>
    </row>
    <row r="395" ht="15.75" customHeight="1">
      <c r="G395" s="26"/>
    </row>
    <row r="396" ht="15.75" customHeight="1">
      <c r="G396" s="26"/>
    </row>
    <row r="397" ht="15.75" customHeight="1">
      <c r="G397" s="26"/>
    </row>
    <row r="398" ht="15.75" customHeight="1">
      <c r="G398" s="26"/>
    </row>
    <row r="399" ht="15.75" customHeight="1">
      <c r="G399" s="26"/>
    </row>
    <row r="400" ht="15.75" customHeight="1">
      <c r="G400" s="26"/>
    </row>
    <row r="401" ht="15.75" customHeight="1">
      <c r="G401" s="26"/>
    </row>
    <row r="402" ht="15.75" customHeight="1">
      <c r="G402" s="26"/>
    </row>
    <row r="403" ht="15.75" customHeight="1">
      <c r="G403" s="26"/>
    </row>
    <row r="404" ht="15.75" customHeight="1">
      <c r="G404" s="26"/>
    </row>
    <row r="405" ht="15.75" customHeight="1">
      <c r="G405" s="26"/>
    </row>
    <row r="406" ht="15.75" customHeight="1">
      <c r="G406" s="26"/>
    </row>
    <row r="407" ht="15.75" customHeight="1">
      <c r="G407" s="26"/>
    </row>
    <row r="408" ht="15.75" customHeight="1">
      <c r="G408" s="26"/>
    </row>
    <row r="409" ht="15.75" customHeight="1">
      <c r="G409" s="26"/>
    </row>
    <row r="410" ht="15.75" customHeight="1">
      <c r="G410" s="26"/>
    </row>
    <row r="411" ht="15.75" customHeight="1">
      <c r="G411" s="26"/>
    </row>
    <row r="412" ht="15.75" customHeight="1">
      <c r="G412" s="26"/>
    </row>
    <row r="413" ht="15.75" customHeight="1">
      <c r="G413" s="26"/>
    </row>
    <row r="414" ht="15.75" customHeight="1">
      <c r="G414" s="26"/>
    </row>
    <row r="415" ht="15.75" customHeight="1">
      <c r="G415" s="26"/>
    </row>
    <row r="416" ht="15.75" customHeight="1">
      <c r="G416" s="26"/>
    </row>
    <row r="417" ht="15.75" customHeight="1">
      <c r="G417" s="26"/>
    </row>
    <row r="418" ht="15.75" customHeight="1">
      <c r="G418" s="26"/>
    </row>
    <row r="419" ht="15.75" customHeight="1">
      <c r="G419" s="26"/>
    </row>
    <row r="420" ht="15.75" customHeight="1">
      <c r="G420" s="26"/>
    </row>
    <row r="421" ht="15.75" customHeight="1">
      <c r="G421" s="26"/>
    </row>
    <row r="422" ht="15.75" customHeight="1">
      <c r="G422" s="26"/>
    </row>
    <row r="423" ht="15.75" customHeight="1">
      <c r="G423" s="26"/>
    </row>
    <row r="424" ht="15.75" customHeight="1">
      <c r="G424" s="26"/>
    </row>
    <row r="425" ht="15.75" customHeight="1">
      <c r="G425" s="26"/>
    </row>
    <row r="426" ht="15.75" customHeight="1">
      <c r="G426" s="26"/>
    </row>
    <row r="427" ht="15.75" customHeight="1">
      <c r="G427" s="26"/>
    </row>
    <row r="428" ht="15.75" customHeight="1">
      <c r="G428" s="26"/>
    </row>
    <row r="429" ht="15.75" customHeight="1">
      <c r="G429" s="26"/>
    </row>
    <row r="430" ht="15.75" customHeight="1">
      <c r="G430" s="26"/>
    </row>
    <row r="431" ht="15.75" customHeight="1">
      <c r="G431" s="26"/>
    </row>
    <row r="432" ht="15.75" customHeight="1">
      <c r="G432" s="26"/>
    </row>
    <row r="433" ht="15.75" customHeight="1">
      <c r="G433" s="26"/>
    </row>
    <row r="434" ht="15.75" customHeight="1">
      <c r="G434" s="26"/>
    </row>
    <row r="435" ht="15.75" customHeight="1">
      <c r="G435" s="26"/>
    </row>
    <row r="436" ht="15.75" customHeight="1">
      <c r="G436" s="26"/>
    </row>
    <row r="437" ht="15.75" customHeight="1">
      <c r="G437" s="26"/>
    </row>
    <row r="438" ht="15.75" customHeight="1">
      <c r="G438" s="26"/>
    </row>
    <row r="439" ht="15.75" customHeight="1">
      <c r="G439" s="26"/>
    </row>
    <row r="440" ht="15.75" customHeight="1">
      <c r="G440" s="26"/>
    </row>
    <row r="441" ht="15.75" customHeight="1">
      <c r="G441" s="26"/>
    </row>
    <row r="442" ht="15.75" customHeight="1">
      <c r="G442" s="26"/>
    </row>
    <row r="443" ht="15.75" customHeight="1">
      <c r="G443" s="26"/>
    </row>
    <row r="444" ht="15.75" customHeight="1">
      <c r="G444" s="26"/>
    </row>
    <row r="445" ht="15.75" customHeight="1">
      <c r="G445" s="26"/>
    </row>
    <row r="446" ht="15.75" customHeight="1">
      <c r="G446" s="26"/>
    </row>
    <row r="447" ht="15.75" customHeight="1">
      <c r="G447" s="26"/>
    </row>
    <row r="448" ht="15.75" customHeight="1">
      <c r="G448" s="26"/>
    </row>
    <row r="449" ht="15.75" customHeight="1">
      <c r="G449" s="26"/>
    </row>
    <row r="450" ht="15.75" customHeight="1">
      <c r="G450" s="26"/>
    </row>
    <row r="451" ht="15.75" customHeight="1">
      <c r="G451" s="26"/>
    </row>
    <row r="452" ht="15.75" customHeight="1">
      <c r="G452" s="26"/>
    </row>
    <row r="453" ht="15.75" customHeight="1">
      <c r="G453" s="26"/>
    </row>
    <row r="454" ht="15.75" customHeight="1">
      <c r="G454" s="26"/>
    </row>
    <row r="455" ht="15.75" customHeight="1">
      <c r="G455" s="26"/>
    </row>
    <row r="456" ht="15.75" customHeight="1">
      <c r="G456" s="26"/>
    </row>
    <row r="457" ht="15.75" customHeight="1">
      <c r="G457" s="26"/>
    </row>
    <row r="458" ht="15.75" customHeight="1">
      <c r="G458" s="26"/>
    </row>
    <row r="459" ht="15.75" customHeight="1">
      <c r="G459" s="26"/>
    </row>
    <row r="460" ht="15.75" customHeight="1">
      <c r="G460" s="26"/>
    </row>
    <row r="461" ht="15.75" customHeight="1">
      <c r="G461" s="26"/>
    </row>
    <row r="462" ht="15.75" customHeight="1">
      <c r="G462" s="26"/>
    </row>
    <row r="463" ht="15.75" customHeight="1">
      <c r="G463" s="26"/>
    </row>
    <row r="464" ht="15.75" customHeight="1">
      <c r="G464" s="26"/>
    </row>
    <row r="465" ht="15.75" customHeight="1">
      <c r="G465" s="26"/>
    </row>
    <row r="466" ht="15.75" customHeight="1">
      <c r="G466" s="26"/>
    </row>
    <row r="467" ht="15.75" customHeight="1">
      <c r="G467" s="26"/>
    </row>
    <row r="468" ht="15.75" customHeight="1">
      <c r="G468" s="26"/>
    </row>
    <row r="469" ht="15.75" customHeight="1">
      <c r="G469" s="26"/>
    </row>
    <row r="470" ht="15.75" customHeight="1">
      <c r="G470" s="26"/>
    </row>
    <row r="471" ht="15.75" customHeight="1">
      <c r="G471" s="26"/>
    </row>
    <row r="472" ht="15.75" customHeight="1">
      <c r="G472" s="26"/>
    </row>
    <row r="473" ht="15.75" customHeight="1">
      <c r="G473" s="26"/>
    </row>
    <row r="474" ht="15.75" customHeight="1">
      <c r="G474" s="26"/>
    </row>
    <row r="475" ht="15.75" customHeight="1">
      <c r="G475" s="26"/>
    </row>
    <row r="476" ht="15.75" customHeight="1">
      <c r="G476" s="26"/>
    </row>
    <row r="477" ht="15.75" customHeight="1">
      <c r="G477" s="26"/>
    </row>
    <row r="478" ht="15.75" customHeight="1">
      <c r="G478" s="26"/>
    </row>
    <row r="479" ht="15.75" customHeight="1">
      <c r="G479" s="26"/>
    </row>
    <row r="480" ht="15.75" customHeight="1">
      <c r="G480" s="26"/>
    </row>
    <row r="481" ht="15.75" customHeight="1">
      <c r="G481" s="26"/>
    </row>
    <row r="482" ht="15.75" customHeight="1">
      <c r="G482" s="26"/>
    </row>
    <row r="483" ht="15.75" customHeight="1">
      <c r="G483" s="26"/>
    </row>
    <row r="484" ht="15.75" customHeight="1">
      <c r="G484" s="26"/>
    </row>
    <row r="485" ht="15.75" customHeight="1">
      <c r="G485" s="26"/>
    </row>
    <row r="486" ht="15.75" customHeight="1">
      <c r="G486" s="26"/>
    </row>
    <row r="487" ht="15.75" customHeight="1">
      <c r="G487" s="26"/>
    </row>
    <row r="488" ht="15.75" customHeight="1">
      <c r="G488" s="26"/>
    </row>
    <row r="489" ht="15.75" customHeight="1">
      <c r="G489" s="26"/>
    </row>
    <row r="490" ht="15.75" customHeight="1">
      <c r="G490" s="26"/>
    </row>
    <row r="491" ht="15.75" customHeight="1">
      <c r="G491" s="26"/>
    </row>
    <row r="492" ht="15.75" customHeight="1">
      <c r="G492" s="26"/>
    </row>
    <row r="493" ht="15.75" customHeight="1">
      <c r="G493" s="26"/>
    </row>
    <row r="494" ht="15.75" customHeight="1">
      <c r="G494" s="26"/>
    </row>
    <row r="495" ht="15.75" customHeight="1">
      <c r="G495" s="26"/>
    </row>
    <row r="496" ht="15.75" customHeight="1">
      <c r="G496" s="26"/>
    </row>
    <row r="497" ht="15.75" customHeight="1">
      <c r="G497" s="26"/>
    </row>
    <row r="498" ht="15.75" customHeight="1">
      <c r="G498" s="26"/>
    </row>
    <row r="499" ht="15.75" customHeight="1">
      <c r="G499" s="26"/>
    </row>
    <row r="500" ht="15.75" customHeight="1">
      <c r="G500" s="26"/>
    </row>
    <row r="501" ht="15.75" customHeight="1">
      <c r="G501" s="26"/>
    </row>
    <row r="502" ht="15.75" customHeight="1">
      <c r="G502" s="26"/>
    </row>
    <row r="503" ht="15.75" customHeight="1">
      <c r="G503" s="26"/>
    </row>
    <row r="504" ht="15.75" customHeight="1">
      <c r="G504" s="26"/>
    </row>
    <row r="505" ht="15.75" customHeight="1">
      <c r="G505" s="26"/>
    </row>
    <row r="506" ht="15.75" customHeight="1">
      <c r="G506" s="26"/>
    </row>
    <row r="507" ht="15.75" customHeight="1">
      <c r="G507" s="26"/>
    </row>
    <row r="508" ht="15.75" customHeight="1">
      <c r="G508" s="26"/>
    </row>
    <row r="509" ht="15.75" customHeight="1">
      <c r="G509" s="26"/>
    </row>
    <row r="510" ht="15.75" customHeight="1">
      <c r="G510" s="26"/>
    </row>
    <row r="511" ht="15.75" customHeight="1">
      <c r="G511" s="26"/>
    </row>
    <row r="512" ht="15.75" customHeight="1">
      <c r="G512" s="26"/>
    </row>
    <row r="513" ht="15.75" customHeight="1">
      <c r="G513" s="26"/>
    </row>
    <row r="514" ht="15.75" customHeight="1">
      <c r="G514" s="26"/>
    </row>
    <row r="515" ht="15.75" customHeight="1">
      <c r="G515" s="26"/>
    </row>
    <row r="516" ht="15.75" customHeight="1">
      <c r="G516" s="26"/>
    </row>
    <row r="517" ht="15.75" customHeight="1">
      <c r="G517" s="26"/>
    </row>
    <row r="518" ht="15.75" customHeight="1">
      <c r="G518" s="26"/>
    </row>
    <row r="519" ht="15.75" customHeight="1">
      <c r="G519" s="26"/>
    </row>
    <row r="520" ht="15.75" customHeight="1">
      <c r="G520" s="26"/>
    </row>
    <row r="521" ht="15.75" customHeight="1">
      <c r="G521" s="26"/>
    </row>
    <row r="522" ht="15.75" customHeight="1">
      <c r="G522" s="26"/>
    </row>
    <row r="523" ht="15.75" customHeight="1">
      <c r="G523" s="26"/>
    </row>
    <row r="524" ht="15.75" customHeight="1">
      <c r="G524" s="26"/>
    </row>
    <row r="525" ht="15.75" customHeight="1">
      <c r="G525" s="26"/>
    </row>
    <row r="526" ht="15.75" customHeight="1">
      <c r="G526" s="26"/>
    </row>
    <row r="527" ht="15.75" customHeight="1">
      <c r="G527" s="26"/>
    </row>
    <row r="528" ht="15.75" customHeight="1">
      <c r="G528" s="26"/>
    </row>
    <row r="529" ht="15.75" customHeight="1">
      <c r="G529" s="26"/>
    </row>
    <row r="530" ht="15.75" customHeight="1">
      <c r="G530" s="26"/>
    </row>
    <row r="531" ht="15.75" customHeight="1">
      <c r="G531" s="26"/>
    </row>
    <row r="532" ht="15.75" customHeight="1">
      <c r="G532" s="26"/>
    </row>
    <row r="533" ht="15.75" customHeight="1">
      <c r="G533" s="26"/>
    </row>
    <row r="534" ht="15.75" customHeight="1">
      <c r="G534" s="26"/>
    </row>
    <row r="535" ht="15.75" customHeight="1">
      <c r="G535" s="26"/>
    </row>
    <row r="536" ht="15.75" customHeight="1">
      <c r="G536" s="26"/>
    </row>
    <row r="537" ht="15.75" customHeight="1">
      <c r="G537" s="26"/>
    </row>
    <row r="538" ht="15.75" customHeight="1">
      <c r="G538" s="26"/>
    </row>
    <row r="539" ht="15.75" customHeight="1">
      <c r="G539" s="26"/>
    </row>
    <row r="540" ht="15.75" customHeight="1">
      <c r="G540" s="26"/>
    </row>
    <row r="541" ht="15.75" customHeight="1">
      <c r="G541" s="26"/>
    </row>
    <row r="542" ht="15.75" customHeight="1">
      <c r="G542" s="26"/>
    </row>
    <row r="543" ht="15.75" customHeight="1">
      <c r="G543" s="26"/>
    </row>
    <row r="544" ht="15.75" customHeight="1">
      <c r="G544" s="26"/>
    </row>
    <row r="545" ht="15.75" customHeight="1">
      <c r="G545" s="26"/>
    </row>
    <row r="546" ht="15.75" customHeight="1">
      <c r="G546" s="26"/>
    </row>
    <row r="547" ht="15.75" customHeight="1">
      <c r="G547" s="26"/>
    </row>
    <row r="548" ht="15.75" customHeight="1">
      <c r="G548" s="26"/>
    </row>
    <row r="549" ht="15.75" customHeight="1">
      <c r="G549" s="26"/>
    </row>
    <row r="550" ht="15.75" customHeight="1">
      <c r="G550" s="26"/>
    </row>
    <row r="551" ht="15.75" customHeight="1">
      <c r="G551" s="26"/>
    </row>
    <row r="552" ht="15.75" customHeight="1">
      <c r="G552" s="26"/>
    </row>
    <row r="553" ht="15.75" customHeight="1">
      <c r="G553" s="26"/>
    </row>
    <row r="554" ht="15.75" customHeight="1">
      <c r="G554" s="26"/>
    </row>
    <row r="555" ht="15.75" customHeight="1">
      <c r="G555" s="26"/>
    </row>
    <row r="556" ht="15.75" customHeight="1">
      <c r="G556" s="26"/>
    </row>
    <row r="557" ht="15.75" customHeight="1">
      <c r="G557" s="26"/>
    </row>
    <row r="558" ht="15.75" customHeight="1">
      <c r="G558" s="26"/>
    </row>
    <row r="559" ht="15.75" customHeight="1">
      <c r="G559" s="26"/>
    </row>
    <row r="560" ht="15.75" customHeight="1">
      <c r="G560" s="26"/>
    </row>
    <row r="561" ht="15.75" customHeight="1">
      <c r="G561" s="26"/>
    </row>
    <row r="562" ht="15.75" customHeight="1">
      <c r="G562" s="26"/>
    </row>
    <row r="563" ht="15.75" customHeight="1">
      <c r="G563" s="26"/>
    </row>
    <row r="564" ht="15.75" customHeight="1">
      <c r="G564" s="26"/>
    </row>
    <row r="565" ht="15.75" customHeight="1">
      <c r="G565" s="26"/>
    </row>
    <row r="566" ht="15.75" customHeight="1">
      <c r="G566" s="26"/>
    </row>
    <row r="567" ht="15.75" customHeight="1">
      <c r="G567" s="26"/>
    </row>
    <row r="568" ht="15.75" customHeight="1">
      <c r="G568" s="26"/>
    </row>
    <row r="569" ht="15.75" customHeight="1">
      <c r="G569" s="26"/>
    </row>
    <row r="570" ht="15.75" customHeight="1">
      <c r="G570" s="26"/>
    </row>
    <row r="571" ht="15.75" customHeight="1">
      <c r="G571" s="26"/>
    </row>
    <row r="572" ht="15.75" customHeight="1">
      <c r="G572" s="26"/>
    </row>
    <row r="573" ht="15.75" customHeight="1">
      <c r="G573" s="26"/>
    </row>
    <row r="574" ht="15.75" customHeight="1">
      <c r="G574" s="26"/>
    </row>
    <row r="575" ht="15.75" customHeight="1">
      <c r="G575" s="26"/>
    </row>
    <row r="576" ht="15.75" customHeight="1">
      <c r="G576" s="26"/>
    </row>
    <row r="577" ht="15.75" customHeight="1">
      <c r="G577" s="26"/>
    </row>
    <row r="578" ht="15.75" customHeight="1">
      <c r="G578" s="26"/>
    </row>
    <row r="579" ht="15.75" customHeight="1">
      <c r="G579" s="26"/>
    </row>
    <row r="580" ht="15.75" customHeight="1">
      <c r="G580" s="26"/>
    </row>
    <row r="581" ht="15.75" customHeight="1">
      <c r="G581" s="26"/>
    </row>
    <row r="582" ht="15.75" customHeight="1">
      <c r="G582" s="26"/>
    </row>
    <row r="583" ht="15.75" customHeight="1">
      <c r="G583" s="26"/>
    </row>
    <row r="584" ht="15.75" customHeight="1">
      <c r="G584" s="26"/>
    </row>
    <row r="585" ht="15.75" customHeight="1">
      <c r="G585" s="26"/>
    </row>
    <row r="586" ht="15.75" customHeight="1">
      <c r="G586" s="26"/>
    </row>
    <row r="587" ht="15.75" customHeight="1">
      <c r="G587" s="26"/>
    </row>
    <row r="588" ht="15.75" customHeight="1">
      <c r="G588" s="26"/>
    </row>
    <row r="589" ht="15.75" customHeight="1">
      <c r="G589" s="26"/>
    </row>
    <row r="590" ht="15.75" customHeight="1">
      <c r="G590" s="26"/>
    </row>
    <row r="591" ht="15.75" customHeight="1">
      <c r="G591" s="26"/>
    </row>
    <row r="592" ht="15.75" customHeight="1">
      <c r="G592" s="26"/>
    </row>
    <row r="593" ht="15.75" customHeight="1">
      <c r="G593" s="26"/>
    </row>
    <row r="594" ht="15.75" customHeight="1">
      <c r="G594" s="26"/>
    </row>
    <row r="595" ht="15.75" customHeight="1">
      <c r="G595" s="26"/>
    </row>
    <row r="596" ht="15.75" customHeight="1">
      <c r="G596" s="26"/>
    </row>
    <row r="597" ht="15.75" customHeight="1">
      <c r="G597" s="26"/>
    </row>
    <row r="598" ht="15.75" customHeight="1">
      <c r="G598" s="26"/>
    </row>
    <row r="599" ht="15.75" customHeight="1">
      <c r="G599" s="26"/>
    </row>
    <row r="600" ht="15.75" customHeight="1">
      <c r="G600" s="26"/>
    </row>
    <row r="601" ht="15.75" customHeight="1">
      <c r="G601" s="26"/>
    </row>
    <row r="602" ht="15.75" customHeight="1">
      <c r="G602" s="26"/>
    </row>
    <row r="603" ht="15.75" customHeight="1">
      <c r="G603" s="26"/>
    </row>
    <row r="604" ht="15.75" customHeight="1">
      <c r="G604" s="26"/>
    </row>
    <row r="605" ht="15.75" customHeight="1">
      <c r="G605" s="26"/>
    </row>
    <row r="606" ht="15.75" customHeight="1">
      <c r="G606" s="26"/>
    </row>
    <row r="607" ht="15.75" customHeight="1">
      <c r="G607" s="26"/>
    </row>
    <row r="608" ht="15.75" customHeight="1">
      <c r="G608" s="26"/>
    </row>
    <row r="609" ht="15.75" customHeight="1">
      <c r="G609" s="26"/>
    </row>
    <row r="610" ht="15.75" customHeight="1">
      <c r="G610" s="26"/>
    </row>
    <row r="611" ht="15.75" customHeight="1">
      <c r="G611" s="26"/>
    </row>
    <row r="612" ht="15.75" customHeight="1">
      <c r="G612" s="26"/>
    </row>
    <row r="613" ht="15.75" customHeight="1">
      <c r="G613" s="26"/>
    </row>
    <row r="614" ht="15.75" customHeight="1">
      <c r="G614" s="26"/>
    </row>
    <row r="615" ht="15.75" customHeight="1">
      <c r="G615" s="26"/>
    </row>
    <row r="616" ht="15.75" customHeight="1">
      <c r="G616" s="26"/>
    </row>
    <row r="617" ht="15.75" customHeight="1">
      <c r="G617" s="26"/>
    </row>
    <row r="618" ht="15.75" customHeight="1">
      <c r="G618" s="26"/>
    </row>
    <row r="619" ht="15.75" customHeight="1">
      <c r="G619" s="26"/>
    </row>
    <row r="620" ht="15.75" customHeight="1">
      <c r="G620" s="26"/>
    </row>
    <row r="621" ht="15.75" customHeight="1">
      <c r="G621" s="26"/>
    </row>
    <row r="622" ht="15.75" customHeight="1">
      <c r="G622" s="26"/>
    </row>
    <row r="623" ht="15.75" customHeight="1">
      <c r="G623" s="26"/>
    </row>
    <row r="624" ht="15.75" customHeight="1">
      <c r="G624" s="26"/>
    </row>
    <row r="625" ht="15.75" customHeight="1">
      <c r="G625" s="26"/>
    </row>
    <row r="626" ht="15.75" customHeight="1">
      <c r="G626" s="26"/>
    </row>
    <row r="627" ht="15.75" customHeight="1">
      <c r="G627" s="26"/>
    </row>
    <row r="628" ht="15.75" customHeight="1">
      <c r="G628" s="26"/>
    </row>
    <row r="629" ht="15.75" customHeight="1">
      <c r="G629" s="26"/>
    </row>
    <row r="630" ht="15.75" customHeight="1">
      <c r="G630" s="26"/>
    </row>
    <row r="631" ht="15.75" customHeight="1">
      <c r="G631" s="26"/>
    </row>
    <row r="632" ht="15.75" customHeight="1">
      <c r="G632" s="26"/>
    </row>
    <row r="633" ht="15.75" customHeight="1">
      <c r="G633" s="26"/>
    </row>
    <row r="634" ht="15.75" customHeight="1">
      <c r="G634" s="26"/>
    </row>
    <row r="635" ht="15.75" customHeight="1">
      <c r="G635" s="26"/>
    </row>
    <row r="636" ht="15.75" customHeight="1">
      <c r="G636" s="26"/>
    </row>
    <row r="637" ht="15.75" customHeight="1">
      <c r="G637" s="26"/>
    </row>
    <row r="638" ht="15.75" customHeight="1">
      <c r="G638" s="26"/>
    </row>
    <row r="639" ht="15.75" customHeight="1">
      <c r="G639" s="26"/>
    </row>
    <row r="640" ht="15.75" customHeight="1">
      <c r="G640" s="26"/>
    </row>
    <row r="641" ht="15.75" customHeight="1">
      <c r="G641" s="26"/>
    </row>
    <row r="642" ht="15.75" customHeight="1">
      <c r="G642" s="26"/>
    </row>
    <row r="643" ht="15.75" customHeight="1">
      <c r="G643" s="26"/>
    </row>
    <row r="644" ht="15.75" customHeight="1">
      <c r="G644" s="26"/>
    </row>
    <row r="645" ht="15.75" customHeight="1">
      <c r="G645" s="26"/>
    </row>
    <row r="646" ht="15.75" customHeight="1">
      <c r="G646" s="26"/>
    </row>
    <row r="647" ht="15.75" customHeight="1">
      <c r="G647" s="26"/>
    </row>
    <row r="648" ht="15.75" customHeight="1">
      <c r="G648" s="26"/>
    </row>
    <row r="649" ht="15.75" customHeight="1">
      <c r="G649" s="26"/>
    </row>
    <row r="650" ht="15.75" customHeight="1">
      <c r="G650" s="26"/>
    </row>
    <row r="651" ht="15.75" customHeight="1">
      <c r="G651" s="26"/>
    </row>
    <row r="652" ht="15.75" customHeight="1">
      <c r="G652" s="26"/>
    </row>
    <row r="653" ht="15.75" customHeight="1">
      <c r="G653" s="26"/>
    </row>
    <row r="654" ht="15.75" customHeight="1">
      <c r="G654" s="26"/>
    </row>
    <row r="655" ht="15.75" customHeight="1">
      <c r="G655" s="26"/>
    </row>
    <row r="656" ht="15.75" customHeight="1">
      <c r="G656" s="26"/>
    </row>
    <row r="657" ht="15.75" customHeight="1">
      <c r="G657" s="26"/>
    </row>
    <row r="658" ht="15.75" customHeight="1">
      <c r="G658" s="26"/>
    </row>
    <row r="659" ht="15.75" customHeight="1">
      <c r="G659" s="26"/>
    </row>
    <row r="660" ht="15.75" customHeight="1">
      <c r="G660" s="26"/>
    </row>
    <row r="661" ht="15.75" customHeight="1">
      <c r="G661" s="26"/>
    </row>
    <row r="662" ht="15.75" customHeight="1">
      <c r="G662" s="26"/>
    </row>
    <row r="663" ht="15.75" customHeight="1">
      <c r="G663" s="26"/>
    </row>
    <row r="664" ht="15.75" customHeight="1">
      <c r="G664" s="26"/>
    </row>
    <row r="665" ht="15.75" customHeight="1">
      <c r="G665" s="26"/>
    </row>
    <row r="666" ht="15.75" customHeight="1">
      <c r="G666" s="26"/>
    </row>
    <row r="667" ht="15.75" customHeight="1">
      <c r="G667" s="26"/>
    </row>
    <row r="668" ht="15.75" customHeight="1">
      <c r="G668" s="26"/>
    </row>
    <row r="669" ht="15.75" customHeight="1">
      <c r="G669" s="26"/>
    </row>
    <row r="670" ht="15.75" customHeight="1">
      <c r="G670" s="26"/>
    </row>
    <row r="671" ht="15.75" customHeight="1">
      <c r="G671" s="26"/>
    </row>
    <row r="672" ht="15.75" customHeight="1">
      <c r="G672" s="26"/>
    </row>
    <row r="673" ht="15.75" customHeight="1">
      <c r="G673" s="26"/>
    </row>
    <row r="674" ht="15.75" customHeight="1">
      <c r="G674" s="26"/>
    </row>
    <row r="675" ht="15.75" customHeight="1">
      <c r="G675" s="26"/>
    </row>
    <row r="676" ht="15.75" customHeight="1">
      <c r="G676" s="26"/>
    </row>
    <row r="677" ht="15.75" customHeight="1">
      <c r="G677" s="26"/>
    </row>
    <row r="678" ht="15.75" customHeight="1">
      <c r="G678" s="26"/>
    </row>
    <row r="679" ht="15.75" customHeight="1">
      <c r="G679" s="26"/>
    </row>
    <row r="680" ht="15.75" customHeight="1">
      <c r="G680" s="26"/>
    </row>
    <row r="681" ht="15.75" customHeight="1">
      <c r="G681" s="26"/>
    </row>
    <row r="682" ht="15.75" customHeight="1">
      <c r="G682" s="26"/>
    </row>
    <row r="683" ht="15.75" customHeight="1">
      <c r="G683" s="26"/>
    </row>
    <row r="684" ht="15.75" customHeight="1">
      <c r="G684" s="26"/>
    </row>
    <row r="685" ht="15.75" customHeight="1">
      <c r="G685" s="26"/>
    </row>
    <row r="686" ht="15.75" customHeight="1">
      <c r="G686" s="26"/>
    </row>
    <row r="687" ht="15.75" customHeight="1">
      <c r="G687" s="26"/>
    </row>
    <row r="688" ht="15.75" customHeight="1">
      <c r="G688" s="26"/>
    </row>
    <row r="689" ht="15.75" customHeight="1">
      <c r="G689" s="26"/>
    </row>
    <row r="690" ht="15.75" customHeight="1">
      <c r="G690" s="26"/>
    </row>
    <row r="691" ht="15.75" customHeight="1">
      <c r="G691" s="26"/>
    </row>
    <row r="692" ht="15.75" customHeight="1">
      <c r="G692" s="26"/>
    </row>
    <row r="693" ht="15.75" customHeight="1">
      <c r="G693" s="26"/>
    </row>
    <row r="694" ht="15.75" customHeight="1">
      <c r="G694" s="26"/>
    </row>
    <row r="695" ht="15.75" customHeight="1">
      <c r="G695" s="26"/>
    </row>
    <row r="696" ht="15.75" customHeight="1">
      <c r="G696" s="26"/>
    </row>
    <row r="697" ht="15.75" customHeight="1">
      <c r="G697" s="26"/>
    </row>
    <row r="698" ht="15.75" customHeight="1">
      <c r="G698" s="26"/>
    </row>
    <row r="699" ht="15.75" customHeight="1">
      <c r="G699" s="26"/>
    </row>
    <row r="700" ht="15.75" customHeight="1">
      <c r="G700" s="26"/>
    </row>
    <row r="701" ht="15.75" customHeight="1">
      <c r="G701" s="26"/>
    </row>
    <row r="702" ht="15.75" customHeight="1">
      <c r="G702" s="26"/>
    </row>
    <row r="703" ht="15.75" customHeight="1">
      <c r="G703" s="26"/>
    </row>
    <row r="704" ht="15.75" customHeight="1">
      <c r="G704" s="26"/>
    </row>
    <row r="705" ht="15.75" customHeight="1">
      <c r="G705" s="26"/>
    </row>
    <row r="706" ht="15.75" customHeight="1">
      <c r="G706" s="26"/>
    </row>
    <row r="707" ht="15.75" customHeight="1">
      <c r="G707" s="26"/>
    </row>
    <row r="708" ht="15.75" customHeight="1">
      <c r="G708" s="26"/>
    </row>
    <row r="709" ht="15.75" customHeight="1">
      <c r="G709" s="26"/>
    </row>
    <row r="710" ht="15.75" customHeight="1">
      <c r="G710" s="26"/>
    </row>
    <row r="711" ht="15.75" customHeight="1">
      <c r="G711" s="26"/>
    </row>
    <row r="712" ht="15.75" customHeight="1">
      <c r="G712" s="26"/>
    </row>
    <row r="713" ht="15.75" customHeight="1">
      <c r="G713" s="26"/>
    </row>
    <row r="714" ht="15.75" customHeight="1">
      <c r="G714" s="26"/>
    </row>
    <row r="715" ht="15.75" customHeight="1">
      <c r="G715" s="26"/>
    </row>
    <row r="716" ht="15.75" customHeight="1">
      <c r="G716" s="26"/>
    </row>
    <row r="717" ht="15.75" customHeight="1">
      <c r="G717" s="26"/>
    </row>
    <row r="718" ht="15.75" customHeight="1">
      <c r="G718" s="26"/>
    </row>
    <row r="719" ht="15.75" customHeight="1">
      <c r="G719" s="26"/>
    </row>
    <row r="720" ht="15.75" customHeight="1">
      <c r="G720" s="26"/>
    </row>
    <row r="721" ht="15.75" customHeight="1">
      <c r="G721" s="26"/>
    </row>
    <row r="722" ht="15.75" customHeight="1">
      <c r="G722" s="26"/>
    </row>
    <row r="723" ht="15.75" customHeight="1">
      <c r="G723" s="26"/>
    </row>
    <row r="724" ht="15.75" customHeight="1">
      <c r="G724" s="26"/>
    </row>
    <row r="725" ht="15.75" customHeight="1">
      <c r="G725" s="26"/>
    </row>
    <row r="726" ht="15.75" customHeight="1">
      <c r="G726" s="26"/>
    </row>
    <row r="727" ht="15.75" customHeight="1">
      <c r="G727" s="26"/>
    </row>
    <row r="728" ht="15.75" customHeight="1">
      <c r="G728" s="26"/>
    </row>
    <row r="729" ht="15.75" customHeight="1">
      <c r="G729" s="26"/>
    </row>
    <row r="730" ht="15.75" customHeight="1">
      <c r="G730" s="26"/>
    </row>
    <row r="731" ht="15.75" customHeight="1">
      <c r="G731" s="26"/>
    </row>
    <row r="732" ht="15.75" customHeight="1">
      <c r="G732" s="26"/>
    </row>
    <row r="733" ht="15.75" customHeight="1">
      <c r="G733" s="26"/>
    </row>
    <row r="734" ht="15.75" customHeight="1">
      <c r="G734" s="26"/>
    </row>
    <row r="735" ht="15.75" customHeight="1">
      <c r="G735" s="26"/>
    </row>
    <row r="736" ht="15.75" customHeight="1">
      <c r="G736" s="26"/>
    </row>
    <row r="737" ht="15.75" customHeight="1">
      <c r="G737" s="26"/>
    </row>
    <row r="738" ht="15.75" customHeight="1">
      <c r="G738" s="26"/>
    </row>
    <row r="739" ht="15.75" customHeight="1">
      <c r="G739" s="26"/>
    </row>
    <row r="740" ht="15.75" customHeight="1">
      <c r="G740" s="26"/>
    </row>
    <row r="741" ht="15.75" customHeight="1">
      <c r="G741" s="26"/>
    </row>
    <row r="742" ht="15.75" customHeight="1">
      <c r="G742" s="26"/>
    </row>
    <row r="743" ht="15.75" customHeight="1">
      <c r="G743" s="26"/>
    </row>
    <row r="744" ht="15.75" customHeight="1">
      <c r="G744" s="26"/>
    </row>
    <row r="745" ht="15.75" customHeight="1">
      <c r="G745" s="26"/>
    </row>
    <row r="746" ht="15.75" customHeight="1">
      <c r="G746" s="26"/>
    </row>
    <row r="747" ht="15.75" customHeight="1">
      <c r="G747" s="26"/>
    </row>
    <row r="748" ht="15.75" customHeight="1">
      <c r="G748" s="26"/>
    </row>
    <row r="749" ht="15.75" customHeight="1">
      <c r="G749" s="26"/>
    </row>
    <row r="750" ht="15.75" customHeight="1">
      <c r="G750" s="26"/>
    </row>
    <row r="751" ht="15.75" customHeight="1">
      <c r="G751" s="26"/>
    </row>
    <row r="752" ht="15.75" customHeight="1">
      <c r="G752" s="26"/>
    </row>
    <row r="753" ht="15.75" customHeight="1">
      <c r="G753" s="26"/>
    </row>
    <row r="754" ht="15.75" customHeight="1">
      <c r="G754" s="26"/>
    </row>
    <row r="755" ht="15.75" customHeight="1">
      <c r="G755" s="26"/>
    </row>
    <row r="756" ht="15.75" customHeight="1">
      <c r="G756" s="26"/>
    </row>
    <row r="757" ht="15.75" customHeight="1">
      <c r="G757" s="26"/>
    </row>
    <row r="758" ht="15.75" customHeight="1">
      <c r="G758" s="26"/>
    </row>
    <row r="759" ht="15.75" customHeight="1">
      <c r="G759" s="26"/>
    </row>
    <row r="760" ht="15.75" customHeight="1">
      <c r="G760" s="26"/>
    </row>
    <row r="761" ht="15.75" customHeight="1">
      <c r="G761" s="26"/>
    </row>
    <row r="762" ht="15.75" customHeight="1">
      <c r="G762" s="26"/>
    </row>
    <row r="763" ht="15.75" customHeight="1">
      <c r="G763" s="26"/>
    </row>
    <row r="764" ht="15.75" customHeight="1">
      <c r="G764" s="26"/>
    </row>
    <row r="765" ht="15.75" customHeight="1">
      <c r="G765" s="26"/>
    </row>
    <row r="766" ht="15.75" customHeight="1">
      <c r="G766" s="26"/>
    </row>
    <row r="767" ht="15.75" customHeight="1">
      <c r="G767" s="26"/>
    </row>
    <row r="768" ht="15.75" customHeight="1">
      <c r="G768" s="26"/>
    </row>
    <row r="769" ht="15.75" customHeight="1">
      <c r="G769" s="26"/>
    </row>
    <row r="770" ht="15.75" customHeight="1">
      <c r="G770" s="26"/>
    </row>
    <row r="771" ht="15.75" customHeight="1">
      <c r="G771" s="26"/>
    </row>
    <row r="772" ht="15.75" customHeight="1">
      <c r="G772" s="26"/>
    </row>
    <row r="773" ht="15.75" customHeight="1">
      <c r="G773" s="26"/>
    </row>
    <row r="774" ht="15.75" customHeight="1">
      <c r="G774" s="26"/>
    </row>
    <row r="775" ht="15.75" customHeight="1">
      <c r="G775" s="26"/>
    </row>
    <row r="776" ht="15.75" customHeight="1">
      <c r="G776" s="26"/>
    </row>
    <row r="777" ht="15.75" customHeight="1">
      <c r="G777" s="26"/>
    </row>
    <row r="778" ht="15.75" customHeight="1">
      <c r="G778" s="26"/>
    </row>
    <row r="779" ht="15.75" customHeight="1">
      <c r="G779" s="26"/>
    </row>
    <row r="780" ht="15.75" customHeight="1">
      <c r="G780" s="26"/>
    </row>
    <row r="781" ht="15.75" customHeight="1">
      <c r="G781" s="26"/>
    </row>
    <row r="782" ht="15.75" customHeight="1">
      <c r="G782" s="26"/>
    </row>
    <row r="783" ht="15.75" customHeight="1">
      <c r="G783" s="26"/>
    </row>
    <row r="784" ht="15.75" customHeight="1">
      <c r="G784" s="26"/>
    </row>
    <row r="785" ht="15.75" customHeight="1">
      <c r="G785" s="26"/>
    </row>
    <row r="786" ht="15.75" customHeight="1">
      <c r="G786" s="26"/>
    </row>
    <row r="787" ht="15.75" customHeight="1">
      <c r="G787" s="26"/>
    </row>
    <row r="788" ht="15.75" customHeight="1">
      <c r="G788" s="26"/>
    </row>
    <row r="789" ht="15.75" customHeight="1">
      <c r="G789" s="26"/>
    </row>
    <row r="790" ht="15.75" customHeight="1">
      <c r="G790" s="26"/>
    </row>
    <row r="791" ht="15.75" customHeight="1">
      <c r="G791" s="26"/>
    </row>
    <row r="792" ht="15.75" customHeight="1">
      <c r="G792" s="26"/>
    </row>
    <row r="793" ht="15.75" customHeight="1">
      <c r="G793" s="26"/>
    </row>
    <row r="794" ht="15.75" customHeight="1">
      <c r="G794" s="26"/>
    </row>
    <row r="795" ht="15.75" customHeight="1">
      <c r="G795" s="26"/>
    </row>
    <row r="796" ht="15.75" customHeight="1">
      <c r="G796" s="26"/>
    </row>
    <row r="797" ht="15.75" customHeight="1">
      <c r="G797" s="26"/>
    </row>
    <row r="798" ht="15.75" customHeight="1">
      <c r="G798" s="26"/>
    </row>
    <row r="799" ht="15.75" customHeight="1">
      <c r="G799" s="26"/>
    </row>
    <row r="800" ht="15.75" customHeight="1">
      <c r="G800" s="26"/>
    </row>
    <row r="801" ht="15.75" customHeight="1">
      <c r="G801" s="26"/>
    </row>
    <row r="802" ht="15.75" customHeight="1">
      <c r="G802" s="26"/>
    </row>
    <row r="803" ht="15.75" customHeight="1">
      <c r="G803" s="26"/>
    </row>
    <row r="804" ht="15.75" customHeight="1">
      <c r="G804" s="26"/>
    </row>
    <row r="805" ht="15.75" customHeight="1">
      <c r="G805" s="26"/>
    </row>
    <row r="806" ht="15.75" customHeight="1">
      <c r="G806" s="26"/>
    </row>
    <row r="807" ht="15.75" customHeight="1">
      <c r="G807" s="26"/>
    </row>
    <row r="808" ht="15.75" customHeight="1">
      <c r="G808" s="26"/>
    </row>
    <row r="809" ht="15.75" customHeight="1">
      <c r="G809" s="26"/>
    </row>
    <row r="810" ht="15.75" customHeight="1">
      <c r="G810" s="26"/>
    </row>
    <row r="811" ht="15.75" customHeight="1">
      <c r="G811" s="26"/>
    </row>
    <row r="812" ht="15.75" customHeight="1">
      <c r="G812" s="26"/>
    </row>
    <row r="813" ht="15.75" customHeight="1">
      <c r="G813" s="26"/>
    </row>
    <row r="814" ht="15.75" customHeight="1">
      <c r="G814" s="26"/>
    </row>
    <row r="815" ht="15.75" customHeight="1">
      <c r="G815" s="26"/>
    </row>
    <row r="816" ht="15.75" customHeight="1">
      <c r="G816" s="26"/>
    </row>
    <row r="817" ht="15.75" customHeight="1">
      <c r="G817" s="26"/>
    </row>
    <row r="818" ht="15.75" customHeight="1">
      <c r="G818" s="26"/>
    </row>
    <row r="819" ht="15.75" customHeight="1">
      <c r="G819" s="26"/>
    </row>
    <row r="820" ht="15.75" customHeight="1">
      <c r="G820" s="26"/>
    </row>
    <row r="821" ht="15.75" customHeight="1">
      <c r="G821" s="26"/>
    </row>
    <row r="822" ht="15.75" customHeight="1">
      <c r="G822" s="26"/>
    </row>
    <row r="823" ht="15.75" customHeight="1">
      <c r="G823" s="26"/>
    </row>
    <row r="824" ht="15.75" customHeight="1">
      <c r="G824" s="26"/>
    </row>
    <row r="825" ht="15.75" customHeight="1">
      <c r="G825" s="26"/>
    </row>
    <row r="826" ht="15.75" customHeight="1">
      <c r="G826" s="26"/>
    </row>
    <row r="827" ht="15.75" customHeight="1">
      <c r="G827" s="26"/>
    </row>
    <row r="828" ht="15.75" customHeight="1">
      <c r="G828" s="26"/>
    </row>
    <row r="829" ht="15.75" customHeight="1">
      <c r="G829" s="26"/>
    </row>
    <row r="830" ht="15.75" customHeight="1">
      <c r="G830" s="26"/>
    </row>
    <row r="831" ht="15.75" customHeight="1">
      <c r="G831" s="26"/>
    </row>
    <row r="832" ht="15.75" customHeight="1">
      <c r="G832" s="26"/>
    </row>
    <row r="833" ht="15.75" customHeight="1">
      <c r="G833" s="26"/>
    </row>
    <row r="834" ht="15.75" customHeight="1">
      <c r="G834" s="26"/>
    </row>
    <row r="835" ht="15.75" customHeight="1">
      <c r="G835" s="26"/>
    </row>
    <row r="836" ht="15.75" customHeight="1">
      <c r="G836" s="26"/>
    </row>
    <row r="837" ht="15.75" customHeight="1">
      <c r="G837" s="26"/>
    </row>
    <row r="838" ht="15.75" customHeight="1">
      <c r="G838" s="26"/>
    </row>
    <row r="839" ht="15.75" customHeight="1">
      <c r="G839" s="26"/>
    </row>
    <row r="840" ht="15.75" customHeight="1">
      <c r="G840" s="26"/>
    </row>
    <row r="841" ht="15.75" customHeight="1">
      <c r="G841" s="26"/>
    </row>
    <row r="842" ht="15.75" customHeight="1">
      <c r="G842" s="26"/>
    </row>
    <row r="843" ht="15.75" customHeight="1">
      <c r="G843" s="26"/>
    </row>
    <row r="844" ht="15.75" customHeight="1">
      <c r="G844" s="26"/>
    </row>
    <row r="845" ht="15.75" customHeight="1">
      <c r="G845" s="26"/>
    </row>
    <row r="846" ht="15.75" customHeight="1">
      <c r="G846" s="26"/>
    </row>
    <row r="847" ht="15.75" customHeight="1">
      <c r="G847" s="26"/>
    </row>
    <row r="848" ht="15.75" customHeight="1">
      <c r="G848" s="26"/>
    </row>
    <row r="849" ht="15.75" customHeight="1">
      <c r="G849" s="26"/>
    </row>
    <row r="850" ht="15.75" customHeight="1">
      <c r="G850" s="26"/>
    </row>
    <row r="851" ht="15.75" customHeight="1">
      <c r="G851" s="26"/>
    </row>
    <row r="852" ht="15.75" customHeight="1">
      <c r="G852" s="26"/>
    </row>
    <row r="853" ht="15.75" customHeight="1">
      <c r="G853" s="26"/>
    </row>
    <row r="854" ht="15.75" customHeight="1">
      <c r="G854" s="26"/>
    </row>
    <row r="855" ht="15.75" customHeight="1">
      <c r="G855" s="26"/>
    </row>
    <row r="856" ht="15.75" customHeight="1">
      <c r="G856" s="26"/>
    </row>
    <row r="857" ht="15.75" customHeight="1">
      <c r="G857" s="26"/>
    </row>
    <row r="858" ht="15.75" customHeight="1">
      <c r="G858" s="26"/>
    </row>
    <row r="859" ht="15.75" customHeight="1">
      <c r="G859" s="26"/>
    </row>
    <row r="860" ht="15.75" customHeight="1">
      <c r="G860" s="26"/>
    </row>
    <row r="861" ht="15.75" customHeight="1">
      <c r="G861" s="26"/>
    </row>
    <row r="862" ht="15.75" customHeight="1">
      <c r="G862" s="26"/>
    </row>
    <row r="863" ht="15.75" customHeight="1">
      <c r="G863" s="26"/>
    </row>
    <row r="864" ht="15.75" customHeight="1">
      <c r="G864" s="26"/>
    </row>
    <row r="865" ht="15.75" customHeight="1">
      <c r="G865" s="26"/>
    </row>
    <row r="866" ht="15.75" customHeight="1">
      <c r="G866" s="26"/>
    </row>
    <row r="867" ht="15.75" customHeight="1">
      <c r="G867" s="26"/>
    </row>
    <row r="868" ht="15.75" customHeight="1">
      <c r="G868" s="26"/>
    </row>
    <row r="869" ht="15.75" customHeight="1">
      <c r="G869" s="26"/>
    </row>
    <row r="870" ht="15.75" customHeight="1">
      <c r="G870" s="26"/>
    </row>
    <row r="871" ht="15.75" customHeight="1">
      <c r="G871" s="26"/>
    </row>
    <row r="872" ht="15.75" customHeight="1">
      <c r="G872" s="26"/>
    </row>
    <row r="873" ht="15.75" customHeight="1">
      <c r="G873" s="26"/>
    </row>
    <row r="874" ht="15.75" customHeight="1">
      <c r="G874" s="26"/>
    </row>
    <row r="875" ht="15.75" customHeight="1">
      <c r="G875" s="26"/>
    </row>
    <row r="876" ht="15.75" customHeight="1">
      <c r="G876" s="26"/>
    </row>
    <row r="877" ht="15.75" customHeight="1">
      <c r="G877" s="26"/>
    </row>
    <row r="878" ht="15.75" customHeight="1">
      <c r="G878" s="26"/>
    </row>
    <row r="879" ht="15.75" customHeight="1">
      <c r="G879" s="26"/>
    </row>
    <row r="880" ht="15.75" customHeight="1">
      <c r="G880" s="26"/>
    </row>
    <row r="881" ht="15.75" customHeight="1">
      <c r="G881" s="26"/>
    </row>
    <row r="882" ht="15.75" customHeight="1">
      <c r="G882" s="26"/>
    </row>
    <row r="883" ht="15.75" customHeight="1">
      <c r="G883" s="26"/>
    </row>
    <row r="884" ht="15.75" customHeight="1">
      <c r="G884" s="26"/>
    </row>
    <row r="885" ht="15.75" customHeight="1">
      <c r="G885" s="26"/>
    </row>
    <row r="886" ht="15.75" customHeight="1">
      <c r="G886" s="26"/>
    </row>
    <row r="887" ht="15.75" customHeight="1">
      <c r="G887" s="26"/>
    </row>
    <row r="888" ht="15.75" customHeight="1">
      <c r="G888" s="26"/>
    </row>
    <row r="889" ht="15.75" customHeight="1">
      <c r="G889" s="26"/>
    </row>
    <row r="890" ht="15.75" customHeight="1">
      <c r="G890" s="26"/>
    </row>
    <row r="891" ht="15.75" customHeight="1">
      <c r="G891" s="26"/>
    </row>
    <row r="892" ht="15.75" customHeight="1">
      <c r="G892" s="26"/>
    </row>
    <row r="893" ht="15.75" customHeight="1">
      <c r="G893" s="26"/>
    </row>
    <row r="894" ht="15.75" customHeight="1">
      <c r="G894" s="26"/>
    </row>
    <row r="895" ht="15.75" customHeight="1">
      <c r="G895" s="26"/>
    </row>
    <row r="896" ht="15.75" customHeight="1">
      <c r="G896" s="26"/>
    </row>
    <row r="897" ht="15.75" customHeight="1">
      <c r="G897" s="26"/>
    </row>
    <row r="898" ht="15.75" customHeight="1">
      <c r="G898" s="26"/>
    </row>
    <row r="899" ht="15.75" customHeight="1">
      <c r="G899" s="26"/>
    </row>
    <row r="900" ht="15.75" customHeight="1">
      <c r="G900" s="26"/>
    </row>
    <row r="901" ht="15.75" customHeight="1">
      <c r="G901" s="26"/>
    </row>
    <row r="902" ht="15.75" customHeight="1">
      <c r="G902" s="26"/>
    </row>
    <row r="903" ht="15.75" customHeight="1">
      <c r="G903" s="26"/>
    </row>
    <row r="904" ht="15.75" customHeight="1">
      <c r="G904" s="26"/>
    </row>
    <row r="905" ht="15.75" customHeight="1">
      <c r="G905" s="26"/>
    </row>
    <row r="906" ht="15.75" customHeight="1">
      <c r="G906" s="26"/>
    </row>
    <row r="907" ht="15.75" customHeight="1">
      <c r="G907" s="26"/>
    </row>
    <row r="908" ht="15.75" customHeight="1">
      <c r="G908" s="26"/>
    </row>
    <row r="909" ht="15.75" customHeight="1">
      <c r="G909" s="26"/>
    </row>
    <row r="910" ht="15.75" customHeight="1">
      <c r="G910" s="26"/>
    </row>
    <row r="911" ht="15.75" customHeight="1">
      <c r="G911" s="26"/>
    </row>
    <row r="912" ht="15.75" customHeight="1">
      <c r="G912" s="26"/>
    </row>
    <row r="913" ht="15.75" customHeight="1">
      <c r="G913" s="26"/>
    </row>
    <row r="914" ht="15.75" customHeight="1">
      <c r="G914" s="26"/>
    </row>
    <row r="915" ht="15.75" customHeight="1">
      <c r="G915" s="26"/>
    </row>
    <row r="916" ht="15.75" customHeight="1">
      <c r="G916" s="26"/>
    </row>
    <row r="917" ht="15.75" customHeight="1">
      <c r="G917" s="26"/>
    </row>
    <row r="918" ht="15.75" customHeight="1">
      <c r="G918" s="26"/>
    </row>
    <row r="919" ht="15.75" customHeight="1">
      <c r="G919" s="26"/>
    </row>
    <row r="920" ht="15.75" customHeight="1">
      <c r="G920" s="26"/>
    </row>
    <row r="921" ht="15.75" customHeight="1">
      <c r="G921" s="26"/>
    </row>
    <row r="922" ht="15.75" customHeight="1">
      <c r="G922" s="26"/>
    </row>
    <row r="923" ht="15.75" customHeight="1">
      <c r="G923" s="26"/>
    </row>
    <row r="924" ht="15.75" customHeight="1">
      <c r="G924" s="26"/>
    </row>
    <row r="925" ht="15.75" customHeight="1">
      <c r="G925" s="26"/>
    </row>
    <row r="926" ht="15.75" customHeight="1">
      <c r="G926" s="26"/>
    </row>
    <row r="927" ht="15.75" customHeight="1">
      <c r="G927" s="26"/>
    </row>
    <row r="928" ht="15.75" customHeight="1">
      <c r="G928" s="26"/>
    </row>
    <row r="929" ht="15.75" customHeight="1">
      <c r="G929" s="26"/>
    </row>
    <row r="930" ht="15.75" customHeight="1">
      <c r="G930" s="26"/>
    </row>
    <row r="931" ht="15.75" customHeight="1">
      <c r="G931" s="26"/>
    </row>
    <row r="932" ht="15.75" customHeight="1">
      <c r="G932" s="26"/>
    </row>
    <row r="933" ht="15.75" customHeight="1">
      <c r="G933" s="26"/>
    </row>
    <row r="934" ht="15.75" customHeight="1">
      <c r="G934" s="26"/>
    </row>
    <row r="935" ht="15.75" customHeight="1">
      <c r="G935" s="26"/>
    </row>
    <row r="936" ht="15.75" customHeight="1">
      <c r="G936" s="26"/>
    </row>
    <row r="937" ht="15.75" customHeight="1">
      <c r="G937" s="26"/>
    </row>
    <row r="938" ht="15.75" customHeight="1">
      <c r="G938" s="26"/>
    </row>
    <row r="939" ht="15.75" customHeight="1">
      <c r="G939" s="26"/>
    </row>
    <row r="940" ht="15.75" customHeight="1">
      <c r="G940" s="26"/>
    </row>
    <row r="941" ht="15.75" customHeight="1">
      <c r="G941" s="26"/>
    </row>
    <row r="942" ht="15.75" customHeight="1">
      <c r="G942" s="26"/>
    </row>
    <row r="943" ht="15.75" customHeight="1">
      <c r="G943" s="26"/>
    </row>
    <row r="944" ht="15.75" customHeight="1">
      <c r="G944" s="26"/>
    </row>
    <row r="945" ht="15.75" customHeight="1">
      <c r="G945" s="26"/>
    </row>
    <row r="946" ht="15.75" customHeight="1">
      <c r="G946" s="26"/>
    </row>
    <row r="947" ht="15.75" customHeight="1">
      <c r="G947" s="26"/>
    </row>
    <row r="948" ht="15.75" customHeight="1">
      <c r="G948" s="26"/>
    </row>
    <row r="949" ht="15.75" customHeight="1">
      <c r="G949" s="26"/>
    </row>
    <row r="950" ht="15.75" customHeight="1">
      <c r="G950" s="26"/>
    </row>
    <row r="951" ht="15.75" customHeight="1">
      <c r="G951" s="26"/>
    </row>
    <row r="952" ht="15.75" customHeight="1">
      <c r="G952" s="26"/>
    </row>
    <row r="953" ht="15.75" customHeight="1">
      <c r="G953" s="26"/>
    </row>
    <row r="954" ht="15.75" customHeight="1">
      <c r="G954" s="26"/>
    </row>
    <row r="955" ht="15.75" customHeight="1">
      <c r="G955" s="26"/>
    </row>
    <row r="956" ht="15.75" customHeight="1">
      <c r="G956" s="26"/>
    </row>
    <row r="957" ht="15.75" customHeight="1">
      <c r="G957" s="26"/>
    </row>
    <row r="958" ht="15.75" customHeight="1">
      <c r="G958" s="26"/>
    </row>
    <row r="959" ht="15.75" customHeight="1">
      <c r="G959" s="26"/>
    </row>
    <row r="960" ht="15.75" customHeight="1">
      <c r="G960" s="26"/>
    </row>
    <row r="961" ht="15.75" customHeight="1">
      <c r="G961" s="26"/>
    </row>
    <row r="962" ht="15.75" customHeight="1">
      <c r="G962" s="26"/>
    </row>
    <row r="963" ht="15.75" customHeight="1">
      <c r="G963" s="26"/>
    </row>
    <row r="964" ht="15.75" customHeight="1">
      <c r="G964" s="26"/>
    </row>
    <row r="965" ht="15.75" customHeight="1">
      <c r="G965" s="26"/>
    </row>
    <row r="966" ht="15.75" customHeight="1">
      <c r="G966" s="26"/>
    </row>
    <row r="967" ht="15.75" customHeight="1">
      <c r="G967" s="26"/>
    </row>
    <row r="968" ht="15.75" customHeight="1">
      <c r="G968" s="26"/>
    </row>
    <row r="969" ht="15.75" customHeight="1">
      <c r="G969" s="26"/>
    </row>
    <row r="970" ht="15.75" customHeight="1">
      <c r="G970" s="26"/>
    </row>
    <row r="971" ht="15.75" customHeight="1">
      <c r="G971" s="26"/>
    </row>
    <row r="972" ht="15.75" customHeight="1">
      <c r="G972" s="26"/>
    </row>
    <row r="973" ht="15.75" customHeight="1">
      <c r="G973" s="26"/>
    </row>
    <row r="974" ht="15.75" customHeight="1">
      <c r="G974" s="26"/>
    </row>
    <row r="975" ht="15.75" customHeight="1">
      <c r="G975" s="26"/>
    </row>
    <row r="976" ht="15.75" customHeight="1">
      <c r="G976" s="26"/>
    </row>
    <row r="977" ht="15.75" customHeight="1">
      <c r="G977" s="26"/>
    </row>
    <row r="978" ht="15.75" customHeight="1">
      <c r="G978" s="26"/>
    </row>
    <row r="979" ht="15.75" customHeight="1">
      <c r="G979" s="26"/>
    </row>
    <row r="980" ht="15.75" customHeight="1">
      <c r="G980" s="26"/>
    </row>
    <row r="981" ht="15.75" customHeight="1">
      <c r="G981" s="26"/>
    </row>
    <row r="982" ht="15.75" customHeight="1">
      <c r="G982" s="26"/>
    </row>
    <row r="983" ht="15.75" customHeight="1">
      <c r="G983" s="26"/>
    </row>
    <row r="984" ht="15.75" customHeight="1">
      <c r="G984" s="26"/>
    </row>
    <row r="985" ht="15.75" customHeight="1">
      <c r="G985" s="26"/>
    </row>
    <row r="986" ht="15.75" customHeight="1">
      <c r="G986" s="26"/>
    </row>
    <row r="987" ht="15.75" customHeight="1">
      <c r="G987" s="26"/>
    </row>
    <row r="988" ht="15.75" customHeight="1">
      <c r="G988" s="26"/>
    </row>
    <row r="989" ht="15.75" customHeight="1">
      <c r="G989" s="26"/>
    </row>
    <row r="990" ht="15.75" customHeight="1">
      <c r="G990" s="26"/>
    </row>
    <row r="991" ht="15.75" customHeight="1">
      <c r="G991" s="26"/>
    </row>
    <row r="992" ht="15.75" customHeight="1">
      <c r="G992" s="26"/>
    </row>
    <row r="993" ht="15.75" customHeight="1">
      <c r="G993" s="26"/>
    </row>
    <row r="994" ht="15.75" customHeight="1">
      <c r="G994" s="26"/>
    </row>
    <row r="995" ht="15.75" customHeight="1">
      <c r="G995" s="26"/>
    </row>
    <row r="996" ht="15.75" customHeight="1">
      <c r="G996" s="26"/>
    </row>
    <row r="997" ht="15.75" customHeight="1">
      <c r="G997" s="26"/>
    </row>
    <row r="998" ht="15.75" customHeight="1">
      <c r="G998" s="26"/>
    </row>
  </sheetData>
  <mergeCells count="1">
    <mergeCell ref="A1:J1"/>
  </mergeCells>
  <dataValidations>
    <dataValidation type="list" allowBlank="1" sqref="E4:E31">
      <formula1>"Cao,TB,Thấp"</formula1>
    </dataValidation>
    <dataValidation type="list" allowBlank="1" sqref="F4:F31">
      <formula1>"Chưa làm,Đang làm,Hoàn thành"</formula1>
    </dataValidation>
  </dataValidations>
  <hyperlinks>
    <hyperlink r:id="rId1" ref="A1"/>
  </hyperlinks>
  <printOptions/>
  <pageMargins bottom="1.0" footer="0.0" header="0.0" left="0.75" right="0.75" top="1.0"/>
  <pageSetup paperSize="9" orientation="portrait"/>
  <drawing r:id="rId2"/>
</worksheet>
</file>